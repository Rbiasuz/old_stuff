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EstaPasta_de_trabalho" defaultThemeVersion="124226"/>
  <bookViews>
    <workbookView xWindow="360" yWindow="300" windowWidth="15600" windowHeight="11700" firstSheet="17" activeTab="20"/>
  </bookViews>
  <sheets>
    <sheet name="Capa" sheetId="20" r:id="rId1"/>
    <sheet name="Entradas" sheetId="10" r:id="rId2"/>
    <sheet name="Saída" sheetId="18" r:id="rId3"/>
    <sheet name="Matrizes" sheetId="29" r:id="rId4"/>
    <sheet name="111" sheetId="28" r:id="rId5"/>
    <sheet name="110" sheetId="27" r:id="rId6"/>
    <sheet name="101" sheetId="26" r:id="rId7"/>
    <sheet name="100" sheetId="25" r:id="rId8"/>
    <sheet name="011" sheetId="24" r:id="rId9"/>
    <sheet name="010" sheetId="23" r:id="rId10"/>
    <sheet name="001" sheetId="22" r:id="rId11"/>
    <sheet name="000" sheetId="21" r:id="rId12"/>
    <sheet name="Geral" sheetId="1" r:id="rId13"/>
    <sheet name="AUX Probabilidades" sheetId="5" r:id="rId14"/>
    <sheet name="Probabilidades" sheetId="3" r:id="rId15"/>
    <sheet name="AHP Matriz" sheetId="19" r:id="rId16"/>
    <sheet name="AHP consistencia" sheetId="11" r:id="rId17"/>
    <sheet name="AHP PM" sheetId="12" r:id="rId18"/>
    <sheet name="Score ideia 2" sheetId="17" r:id="rId19"/>
    <sheet name="faixas" sheetId="30" r:id="rId20"/>
    <sheet name="Plan1" sheetId="31" r:id="rId21"/>
    <sheet name="Plan2" sheetId="32" r:id="rId22"/>
    <sheet name="Plan3" sheetId="33" r:id="rId23"/>
    <sheet name="Plan4" sheetId="34" r:id="rId24"/>
    <sheet name="cop" sheetId="35" r:id="rId25"/>
    <sheet name="Plan6" sheetId="36" r:id="rId26"/>
  </sheets>
  <calcPr calcId="145621"/>
</workbook>
</file>

<file path=xl/calcChain.xml><?xml version="1.0" encoding="utf-8"?>
<calcChain xmlns="http://schemas.openxmlformats.org/spreadsheetml/2006/main">
  <c r="D3" i="34" l="1"/>
  <c r="D6" i="34"/>
  <c r="D5" i="34"/>
  <c r="D4" i="34"/>
  <c r="B7" i="34"/>
  <c r="B6" i="34"/>
  <c r="B5" i="34"/>
  <c r="B4" i="34"/>
  <c r="B3" i="34"/>
  <c r="G15" i="19" l="1"/>
  <c r="G17" i="19" s="1"/>
  <c r="G16" i="19"/>
  <c r="G18" i="19"/>
  <c r="C4" i="19"/>
  <c r="N18" i="3" l="1"/>
  <c r="N20" i="3"/>
  <c r="N16" i="3"/>
  <c r="N19" i="3"/>
  <c r="N15" i="3"/>
  <c r="N14" i="3"/>
  <c r="I20" i="3"/>
  <c r="I19" i="3"/>
  <c r="I18" i="3"/>
  <c r="I16" i="3"/>
  <c r="I15" i="3"/>
  <c r="I14" i="3"/>
  <c r="C13" i="19"/>
  <c r="C12" i="19"/>
  <c r="C11" i="19"/>
  <c r="C10" i="19"/>
  <c r="C9" i="19"/>
  <c r="C8" i="19"/>
  <c r="C7" i="19"/>
  <c r="C6" i="19"/>
  <c r="C5" i="19"/>
  <c r="C3" i="19"/>
  <c r="B3" i="11" l="1"/>
  <c r="B4" i="11"/>
  <c r="B5" i="11"/>
  <c r="B6" i="11"/>
  <c r="B7" i="11"/>
  <c r="B8" i="11"/>
  <c r="B9" i="11"/>
  <c r="B10" i="11"/>
  <c r="B11" i="11"/>
  <c r="B12" i="11"/>
  <c r="B13" i="11"/>
  <c r="C2" i="11"/>
  <c r="D2" i="11"/>
  <c r="E2" i="11"/>
  <c r="F2" i="11"/>
  <c r="G2" i="11"/>
  <c r="H2" i="11"/>
  <c r="I2" i="11"/>
  <c r="J2" i="11"/>
  <c r="K2" i="11"/>
  <c r="L2" i="11"/>
  <c r="M2" i="11"/>
  <c r="B2" i="11"/>
  <c r="D28" i="19"/>
  <c r="D29" i="19"/>
  <c r="D30" i="19"/>
  <c r="D31" i="19"/>
  <c r="D23" i="19"/>
  <c r="D27" i="19"/>
  <c r="C35" i="19"/>
  <c r="C34" i="19"/>
  <c r="C33" i="19"/>
  <c r="C32" i="19"/>
  <c r="C27" i="19"/>
  <c r="D26" i="19"/>
  <c r="C26" i="19"/>
  <c r="D25" i="19"/>
  <c r="C25" i="19"/>
  <c r="D24" i="19"/>
  <c r="C24" i="19"/>
  <c r="C23" i="19"/>
  <c r="Q13" i="19" s="1"/>
  <c r="M13" i="11" s="1"/>
  <c r="Q9" i="19"/>
  <c r="M9" i="11" s="1"/>
  <c r="Q7" i="19"/>
  <c r="M7" i="11" s="1"/>
  <c r="O6" i="19"/>
  <c r="K6" i="11" s="1"/>
  <c r="I5" i="19"/>
  <c r="E5" i="11" s="1"/>
  <c r="H30" i="17"/>
  <c r="H29" i="17"/>
  <c r="H27" i="17"/>
  <c r="H26" i="17"/>
  <c r="M12" i="17"/>
  <c r="L12" i="17"/>
  <c r="K12" i="17"/>
  <c r="J12" i="17"/>
  <c r="I12" i="17"/>
  <c r="H12" i="17"/>
  <c r="G12" i="17"/>
  <c r="F12" i="17"/>
  <c r="E12" i="17"/>
  <c r="D12" i="17"/>
  <c r="C12" i="17"/>
  <c r="I9" i="19" l="1"/>
  <c r="E9" i="11" s="1"/>
  <c r="Q3" i="19"/>
  <c r="M3" i="11" s="1"/>
  <c r="Q5" i="19"/>
  <c r="M5" i="11" s="1"/>
  <c r="I7" i="19"/>
  <c r="E7" i="11" s="1"/>
  <c r="J13" i="19"/>
  <c r="F13" i="11" s="1"/>
  <c r="K12" i="19"/>
  <c r="G12" i="11" s="1"/>
  <c r="N11" i="19"/>
  <c r="J11" i="11" s="1"/>
  <c r="O8" i="19"/>
  <c r="K8" i="11" s="1"/>
  <c r="O4" i="19"/>
  <c r="K4" i="11" s="1"/>
  <c r="O10" i="19"/>
  <c r="K10" i="11" s="1"/>
  <c r="G3" i="19"/>
  <c r="C3" i="11" s="1"/>
  <c r="I3" i="19"/>
  <c r="E3" i="11" s="1"/>
  <c r="G4" i="19"/>
  <c r="C4" i="11" s="1"/>
  <c r="G6" i="19"/>
  <c r="C6" i="11" s="1"/>
  <c r="G8" i="19"/>
  <c r="C8" i="11" s="1"/>
  <c r="G10" i="19"/>
  <c r="C10" i="11" s="1"/>
  <c r="P12" i="19"/>
  <c r="L12" i="11" s="1"/>
  <c r="P11" i="19"/>
  <c r="L11" i="11" s="1"/>
  <c r="M12" i="19"/>
  <c r="I12" i="11" s="1"/>
  <c r="I12" i="19"/>
  <c r="E12" i="11" s="1"/>
  <c r="K9" i="19"/>
  <c r="G9" i="11" s="1"/>
  <c r="M3" i="19"/>
  <c r="I3" i="11" s="1"/>
  <c r="K4" i="19"/>
  <c r="G4" i="11" s="1"/>
  <c r="M5" i="19"/>
  <c r="I5" i="11" s="1"/>
  <c r="K6" i="19"/>
  <c r="G6" i="11" s="1"/>
  <c r="M7" i="19"/>
  <c r="I7" i="11" s="1"/>
  <c r="K8" i="19"/>
  <c r="G8" i="11" s="1"/>
  <c r="M9" i="19"/>
  <c r="I9" i="11" s="1"/>
  <c r="K10" i="19"/>
  <c r="G10" i="11" s="1"/>
  <c r="J11" i="19"/>
  <c r="F11" i="11" s="1"/>
  <c r="Q12" i="19"/>
  <c r="M12" i="11" s="1"/>
  <c r="K3" i="19"/>
  <c r="G3" i="11" s="1"/>
  <c r="O3" i="19"/>
  <c r="K3" i="11" s="1"/>
  <c r="I4" i="19"/>
  <c r="E4" i="11" s="1"/>
  <c r="M4" i="19"/>
  <c r="I4" i="11" s="1"/>
  <c r="Q4" i="19"/>
  <c r="M4" i="11" s="1"/>
  <c r="G5" i="19"/>
  <c r="C5" i="11" s="1"/>
  <c r="K5" i="19"/>
  <c r="G5" i="11" s="1"/>
  <c r="O5" i="19"/>
  <c r="K5" i="11" s="1"/>
  <c r="I6" i="19"/>
  <c r="E6" i="11" s="1"/>
  <c r="M6" i="19"/>
  <c r="I6" i="11" s="1"/>
  <c r="Q6" i="19"/>
  <c r="M6" i="11" s="1"/>
  <c r="G7" i="19"/>
  <c r="C7" i="11" s="1"/>
  <c r="K7" i="19"/>
  <c r="G7" i="11" s="1"/>
  <c r="O7" i="19"/>
  <c r="K7" i="11" s="1"/>
  <c r="I8" i="19"/>
  <c r="E8" i="11" s="1"/>
  <c r="M8" i="19"/>
  <c r="I8" i="11" s="1"/>
  <c r="Q8" i="19"/>
  <c r="M8" i="11" s="1"/>
  <c r="G9" i="19"/>
  <c r="C9" i="11" s="1"/>
  <c r="O9" i="19"/>
  <c r="K9" i="11" s="1"/>
  <c r="I10" i="19"/>
  <c r="E10" i="11" s="1"/>
  <c r="M10" i="19"/>
  <c r="I10" i="11" s="1"/>
  <c r="Q10" i="19"/>
  <c r="M10" i="11" s="1"/>
  <c r="L11" i="19"/>
  <c r="H11" i="11" s="1"/>
  <c r="N13" i="19"/>
  <c r="J13" i="11" s="1"/>
  <c r="O13" i="19"/>
  <c r="K13" i="11" s="1"/>
  <c r="M13" i="19"/>
  <c r="I13" i="11" s="1"/>
  <c r="K13" i="19"/>
  <c r="G13" i="11" s="1"/>
  <c r="I11" i="19"/>
  <c r="E11" i="11" s="1"/>
  <c r="O12" i="19"/>
  <c r="K12" i="11" s="1"/>
  <c r="L13" i="19"/>
  <c r="H13" i="11" s="1"/>
  <c r="P13" i="19"/>
  <c r="L13" i="11" s="1"/>
  <c r="H3" i="19"/>
  <c r="D3" i="11" s="1"/>
  <c r="J3" i="19"/>
  <c r="F3" i="11" s="1"/>
  <c r="L3" i="19"/>
  <c r="H3" i="11" s="1"/>
  <c r="N3" i="19"/>
  <c r="J3" i="11" s="1"/>
  <c r="P3" i="19"/>
  <c r="L3" i="11" s="1"/>
  <c r="H4" i="19"/>
  <c r="D4" i="11" s="1"/>
  <c r="J4" i="19"/>
  <c r="F4" i="11" s="1"/>
  <c r="L4" i="19"/>
  <c r="H4" i="11" s="1"/>
  <c r="N4" i="19"/>
  <c r="J4" i="11" s="1"/>
  <c r="P4" i="19"/>
  <c r="L4" i="11" s="1"/>
  <c r="H5" i="19"/>
  <c r="D5" i="11" s="1"/>
  <c r="J5" i="19"/>
  <c r="F5" i="11" s="1"/>
  <c r="L5" i="19"/>
  <c r="H5" i="11" s="1"/>
  <c r="N5" i="19"/>
  <c r="J5" i="11" s="1"/>
  <c r="P5" i="19"/>
  <c r="L5" i="11" s="1"/>
  <c r="H6" i="19"/>
  <c r="D6" i="11" s="1"/>
  <c r="J6" i="19"/>
  <c r="F6" i="11" s="1"/>
  <c r="L6" i="19"/>
  <c r="H6" i="11" s="1"/>
  <c r="N6" i="19"/>
  <c r="J6" i="11" s="1"/>
  <c r="P6" i="19"/>
  <c r="L6" i="11" s="1"/>
  <c r="H7" i="19"/>
  <c r="D7" i="11" s="1"/>
  <c r="J7" i="19"/>
  <c r="F7" i="11" s="1"/>
  <c r="L7" i="19"/>
  <c r="H7" i="11" s="1"/>
  <c r="N7" i="19"/>
  <c r="J7" i="11" s="1"/>
  <c r="P7" i="19"/>
  <c r="L7" i="11" s="1"/>
  <c r="H8" i="19"/>
  <c r="D8" i="11" s="1"/>
  <c r="J8" i="19"/>
  <c r="F8" i="11" s="1"/>
  <c r="L8" i="19"/>
  <c r="H8" i="11" s="1"/>
  <c r="N8" i="19"/>
  <c r="J8" i="11" s="1"/>
  <c r="P8" i="19"/>
  <c r="L8" i="11" s="1"/>
  <c r="H9" i="19"/>
  <c r="D9" i="11" s="1"/>
  <c r="J9" i="19"/>
  <c r="F9" i="11" s="1"/>
  <c r="L9" i="19"/>
  <c r="H9" i="11" s="1"/>
  <c r="N9" i="19"/>
  <c r="J9" i="11" s="1"/>
  <c r="P9" i="19"/>
  <c r="L9" i="11" s="1"/>
  <c r="H10" i="19"/>
  <c r="D10" i="11" s="1"/>
  <c r="J10" i="19"/>
  <c r="F10" i="11" s="1"/>
  <c r="L10" i="19"/>
  <c r="H10" i="11" s="1"/>
  <c r="N10" i="19"/>
  <c r="J10" i="11" s="1"/>
  <c r="P10" i="19"/>
  <c r="L10" i="11" s="1"/>
  <c r="K11" i="19"/>
  <c r="G11" i="11" s="1"/>
  <c r="M11" i="19"/>
  <c r="I11" i="11" s="1"/>
  <c r="O11" i="19"/>
  <c r="K11" i="11" s="1"/>
  <c r="Q11" i="19"/>
  <c r="M11" i="11" s="1"/>
  <c r="H13" i="19"/>
  <c r="D13" i="11" s="1"/>
  <c r="J12" i="19"/>
  <c r="F12" i="11" s="1"/>
  <c r="L12" i="19"/>
  <c r="H12" i="11" s="1"/>
  <c r="N12" i="19"/>
  <c r="J12" i="11" s="1"/>
  <c r="G11" i="19"/>
  <c r="C11" i="11" s="1"/>
  <c r="I13" i="19"/>
  <c r="E13" i="11" s="1"/>
  <c r="H12" i="19"/>
  <c r="D12" i="11" s="1"/>
  <c r="G13" i="19"/>
  <c r="C13" i="11" s="1"/>
  <c r="H11" i="19"/>
  <c r="D11" i="11" s="1"/>
  <c r="G12" i="19"/>
  <c r="C12" i="11" s="1"/>
  <c r="H28" i="17"/>
  <c r="L34" i="17" s="1"/>
  <c r="H25" i="17"/>
  <c r="L33" i="17" s="1"/>
  <c r="G30" i="17"/>
  <c r="G29" i="17"/>
  <c r="G28" i="17"/>
  <c r="G27" i="17"/>
  <c r="G26" i="17"/>
  <c r="G25" i="17"/>
  <c r="L40" i="17" l="1"/>
  <c r="L13" i="18" s="1"/>
  <c r="Q3" i="11" a="1"/>
  <c r="Q3" i="11" s="1"/>
  <c r="K33" i="17"/>
  <c r="K34" i="17"/>
  <c r="O140" i="5"/>
  <c r="O141" i="5"/>
  <c r="O144" i="5"/>
  <c r="O145" i="5"/>
  <c r="O87" i="5"/>
  <c r="O88" i="5"/>
  <c r="O89" i="5"/>
  <c r="O92" i="5"/>
  <c r="O93" i="5"/>
  <c r="O94" i="5"/>
  <c r="O97" i="5"/>
  <c r="O84" i="5"/>
  <c r="Q9" i="11" l="1"/>
  <c r="Q6" i="11"/>
  <c r="Q7" i="11"/>
  <c r="Q4" i="11"/>
  <c r="Q12" i="11"/>
  <c r="Q5" i="11"/>
  <c r="Q13" i="11"/>
  <c r="Q10" i="11"/>
  <c r="Q11" i="11"/>
  <c r="Q8" i="11"/>
  <c r="K40" i="17"/>
  <c r="K13" i="18" s="1"/>
  <c r="O15" i="11"/>
  <c r="O27" i="11" s="1"/>
  <c r="O39" i="11" s="1"/>
  <c r="O51" i="11" s="1"/>
  <c r="O63" i="11" s="1"/>
  <c r="O75" i="11" s="1"/>
  <c r="O87" i="11" s="1"/>
  <c r="O99" i="11" s="1"/>
  <c r="O111" i="11" s="1"/>
  <c r="B3" i="12"/>
  <c r="B17" i="12" s="1"/>
  <c r="B5" i="12"/>
  <c r="B19" i="12" s="1"/>
  <c r="B7" i="12"/>
  <c r="B21" i="12" s="1"/>
  <c r="B9" i="12"/>
  <c r="B23" i="12" s="1"/>
  <c r="B11" i="12"/>
  <c r="B25" i="12" s="1"/>
  <c r="B13" i="12"/>
  <c r="B27" i="12" s="1"/>
  <c r="C2" i="12"/>
  <c r="C16" i="12" s="1"/>
  <c r="D2" i="12"/>
  <c r="D16" i="12" s="1"/>
  <c r="E2" i="12"/>
  <c r="E16" i="12" s="1"/>
  <c r="F2" i="12"/>
  <c r="F16" i="12" s="1"/>
  <c r="G2" i="12"/>
  <c r="G16" i="12" s="1"/>
  <c r="H2" i="12"/>
  <c r="H16" i="12" s="1"/>
  <c r="I2" i="12"/>
  <c r="I16" i="12" s="1"/>
  <c r="J2" i="12"/>
  <c r="J16" i="12" s="1"/>
  <c r="K2" i="12"/>
  <c r="K16" i="12" s="1"/>
  <c r="L2" i="12"/>
  <c r="L16" i="12" s="1"/>
  <c r="M2" i="12"/>
  <c r="M16" i="12" s="1"/>
  <c r="K3" i="3"/>
  <c r="J3" i="3"/>
  <c r="I3" i="3"/>
  <c r="H3" i="3"/>
  <c r="G3" i="3"/>
  <c r="F3" i="3"/>
  <c r="E3" i="3"/>
  <c r="D3" i="3"/>
  <c r="C3" i="3"/>
  <c r="B4" i="12"/>
  <c r="B18" i="12" s="1"/>
  <c r="B6" i="12"/>
  <c r="B20" i="12" s="1"/>
  <c r="B8" i="12"/>
  <c r="B22" i="12" s="1"/>
  <c r="B10" i="12"/>
  <c r="B24" i="12" s="1"/>
  <c r="B12" i="12"/>
  <c r="B26" i="12" s="1"/>
  <c r="B2" i="12"/>
  <c r="B16" i="12" s="1"/>
  <c r="C124" i="5"/>
  <c r="D124" i="5"/>
  <c r="E124" i="5"/>
  <c r="F124" i="5"/>
  <c r="G124" i="5"/>
  <c r="H124" i="5"/>
  <c r="I124" i="5"/>
  <c r="J124" i="5"/>
  <c r="K124" i="5"/>
  <c r="L124" i="5"/>
  <c r="M124" i="5"/>
  <c r="R3" i="11" l="1"/>
  <c r="K5" i="12"/>
  <c r="D5" i="12"/>
  <c r="I4" i="12"/>
  <c r="K4" i="12"/>
  <c r="F3" i="5"/>
  <c r="G3" i="5"/>
  <c r="H3" i="5"/>
  <c r="E3" i="5"/>
  <c r="C3" i="5"/>
  <c r="C4" i="5" s="1"/>
  <c r="C18" i="5" s="1"/>
  <c r="C31" i="5" s="1"/>
  <c r="D3" i="5"/>
  <c r="D4" i="5" s="1"/>
  <c r="M19" i="5" s="1"/>
  <c r="C71" i="5" l="1"/>
  <c r="E3" i="12"/>
  <c r="I13" i="12"/>
  <c r="G13" i="12"/>
  <c r="E13" i="12"/>
  <c r="C13" i="12"/>
  <c r="I12" i="12"/>
  <c r="G12" i="12"/>
  <c r="E12" i="12"/>
  <c r="C12" i="12"/>
  <c r="I11" i="12"/>
  <c r="G11" i="12"/>
  <c r="E11" i="12"/>
  <c r="C11" i="12"/>
  <c r="G10" i="12"/>
  <c r="E10" i="12"/>
  <c r="C10" i="12"/>
  <c r="H9" i="12"/>
  <c r="F9" i="12"/>
  <c r="D9" i="12"/>
  <c r="E8" i="12"/>
  <c r="E6" i="12"/>
  <c r="L5" i="12"/>
  <c r="E4" i="12"/>
  <c r="J13" i="12"/>
  <c r="H13" i="12"/>
  <c r="F13" i="12"/>
  <c r="D13" i="12"/>
  <c r="J12" i="12"/>
  <c r="H12" i="12"/>
  <c r="F12" i="12"/>
  <c r="D12" i="12"/>
  <c r="J11" i="12"/>
  <c r="H11" i="12"/>
  <c r="F11" i="12"/>
  <c r="D11" i="12"/>
  <c r="H10" i="12"/>
  <c r="F10" i="12"/>
  <c r="D10" i="12"/>
  <c r="J9" i="12"/>
  <c r="G9" i="12"/>
  <c r="E9" i="12"/>
  <c r="C9" i="12"/>
  <c r="E7" i="12"/>
  <c r="M5" i="12"/>
  <c r="L3" i="12"/>
  <c r="L8" i="12"/>
  <c r="M7" i="12"/>
  <c r="K7" i="12"/>
  <c r="L6" i="12"/>
  <c r="L4" i="12"/>
  <c r="M3" i="12"/>
  <c r="K3" i="12"/>
  <c r="M8" i="12"/>
  <c r="K8" i="12"/>
  <c r="L7" i="12"/>
  <c r="M6" i="12"/>
  <c r="K6" i="12"/>
  <c r="I5" i="12"/>
  <c r="M4" i="12"/>
  <c r="M10" i="12"/>
  <c r="K10" i="12"/>
  <c r="I3" i="12"/>
  <c r="L10" i="12"/>
  <c r="I8" i="12"/>
  <c r="I7" i="12"/>
  <c r="I6" i="12"/>
  <c r="J5" i="12"/>
  <c r="M9" i="12"/>
  <c r="K9" i="12"/>
  <c r="J8" i="12"/>
  <c r="J6" i="12"/>
  <c r="G5" i="12"/>
  <c r="C5" i="12"/>
  <c r="J4" i="12"/>
  <c r="J3" i="12"/>
  <c r="I10" i="12"/>
  <c r="L9" i="12"/>
  <c r="J7" i="12"/>
  <c r="H5" i="12"/>
  <c r="F5" i="12"/>
  <c r="D19" i="5"/>
  <c r="K19" i="5"/>
  <c r="I19" i="5"/>
  <c r="G19" i="5"/>
  <c r="E19" i="5"/>
  <c r="C19" i="5"/>
  <c r="C32" i="5" s="1"/>
  <c r="L19" i="5"/>
  <c r="J19" i="5"/>
  <c r="H19" i="5"/>
  <c r="F19" i="5"/>
  <c r="M18" i="5"/>
  <c r="K18" i="5"/>
  <c r="I18" i="5"/>
  <c r="G18" i="5"/>
  <c r="E18" i="5"/>
  <c r="D18" i="5"/>
  <c r="L18" i="5"/>
  <c r="J18" i="5"/>
  <c r="H18" i="5"/>
  <c r="F18" i="5"/>
  <c r="C72" i="5" l="1"/>
  <c r="G4" i="5"/>
  <c r="E4" i="5"/>
  <c r="E22" i="5" l="1"/>
  <c r="E35" i="5" s="1"/>
  <c r="C22" i="5"/>
  <c r="C35" i="5" s="1"/>
  <c r="C75" i="5" s="1"/>
  <c r="D22" i="5"/>
  <c r="D35" i="5" s="1"/>
  <c r="F22" i="5"/>
  <c r="F35" i="5" s="1"/>
  <c r="E20" i="5"/>
  <c r="E33" i="5" s="1"/>
  <c r="C20" i="5"/>
  <c r="C33" i="5" s="1"/>
  <c r="D20" i="5"/>
  <c r="D33" i="5" s="1"/>
  <c r="F20" i="5"/>
  <c r="F33" i="5" s="1"/>
  <c r="D1" i="5"/>
  <c r="E1" i="5"/>
  <c r="F1" i="5"/>
  <c r="G1" i="5"/>
  <c r="H1" i="5"/>
  <c r="I1" i="5"/>
  <c r="J1" i="5"/>
  <c r="K1" i="5"/>
  <c r="L1" i="5"/>
  <c r="M1" i="5"/>
  <c r="C1" i="5"/>
  <c r="M3" i="5"/>
  <c r="M4" i="5" s="1"/>
  <c r="F4" i="5"/>
  <c r="H4" i="5"/>
  <c r="I3" i="5"/>
  <c r="I4" i="5" s="1"/>
  <c r="J3" i="5"/>
  <c r="J4" i="5" s="1"/>
  <c r="K3" i="5"/>
  <c r="K4" i="5" s="1"/>
  <c r="L3" i="5"/>
  <c r="L4" i="5" s="1"/>
  <c r="D26" i="5" l="1"/>
  <c r="D39" i="5" s="1"/>
  <c r="C26" i="5"/>
  <c r="C39" i="5" s="1"/>
  <c r="E26" i="5"/>
  <c r="E39" i="5" s="1"/>
  <c r="D27" i="5"/>
  <c r="D40" i="5" s="1"/>
  <c r="C27" i="5"/>
  <c r="C40" i="5" s="1"/>
  <c r="E27" i="5"/>
  <c r="E40" i="5" s="1"/>
  <c r="D75" i="5"/>
  <c r="E75" i="5" s="1"/>
  <c r="F75" i="5" s="1"/>
  <c r="G75" i="5" s="1"/>
  <c r="H75" i="5" s="1"/>
  <c r="I75" i="5" s="1"/>
  <c r="J75" i="5" s="1"/>
  <c r="K75" i="5" s="1"/>
  <c r="L75" i="5" s="1"/>
  <c r="M75" i="5" s="1"/>
  <c r="C73" i="5"/>
  <c r="C59" i="5" a="1"/>
  <c r="C46" i="5" a="1"/>
  <c r="C61" i="5" a="1"/>
  <c r="C48" i="5" a="1"/>
  <c r="F31" i="5"/>
  <c r="H31" i="5"/>
  <c r="J31" i="5"/>
  <c r="L31" i="5"/>
  <c r="D31" i="5"/>
  <c r="E31" i="5"/>
  <c r="G31" i="5"/>
  <c r="I31" i="5"/>
  <c r="K31" i="5"/>
  <c r="M31" i="5"/>
  <c r="D25" i="5"/>
  <c r="D38" i="5" s="1"/>
  <c r="C25" i="5"/>
  <c r="C38" i="5" s="1"/>
  <c r="C78" i="5" s="1"/>
  <c r="E25" i="5"/>
  <c r="E38" i="5" s="1"/>
  <c r="D23" i="5"/>
  <c r="D36" i="5" s="1"/>
  <c r="F23" i="5"/>
  <c r="F36" i="5" s="1"/>
  <c r="C23" i="5"/>
  <c r="C36" i="5" s="1"/>
  <c r="C76" i="5" s="1"/>
  <c r="E23" i="5"/>
  <c r="E36" i="5" s="1"/>
  <c r="G23" i="5"/>
  <c r="G36" i="5" s="1"/>
  <c r="E32" i="5"/>
  <c r="G32" i="5"/>
  <c r="I32" i="5"/>
  <c r="K32" i="5"/>
  <c r="D32" i="5"/>
  <c r="M32" i="5"/>
  <c r="F32" i="5"/>
  <c r="H32" i="5"/>
  <c r="J32" i="5"/>
  <c r="L32" i="5"/>
  <c r="E24" i="5"/>
  <c r="E37" i="5" s="1"/>
  <c r="D24" i="5"/>
  <c r="D37" i="5" s="1"/>
  <c r="C24" i="5"/>
  <c r="C37" i="5" s="1"/>
  <c r="C77" i="5" s="1"/>
  <c r="E21" i="5"/>
  <c r="E34" i="5" s="1"/>
  <c r="C21" i="5"/>
  <c r="C34" i="5" s="1"/>
  <c r="C74" i="5" s="1"/>
  <c r="D21" i="5"/>
  <c r="D34" i="5" s="1"/>
  <c r="F21" i="5"/>
  <c r="F34" i="5" s="1"/>
  <c r="D28" i="5"/>
  <c r="D41" i="5" s="1"/>
  <c r="F28" i="5"/>
  <c r="F41" i="5" s="1"/>
  <c r="E28" i="5"/>
  <c r="E41" i="5" s="1"/>
  <c r="C28" i="5"/>
  <c r="C41" i="5" s="1"/>
  <c r="C81" i="5" s="1"/>
  <c r="D72" i="5" l="1"/>
  <c r="E72" i="5" s="1"/>
  <c r="F72" i="5" s="1"/>
  <c r="G72" i="5" s="1"/>
  <c r="H72" i="5" s="1"/>
  <c r="I72" i="5" s="1"/>
  <c r="J72" i="5" s="1"/>
  <c r="K72" i="5" s="1"/>
  <c r="L72" i="5" s="1"/>
  <c r="M72" i="5" s="1"/>
  <c r="C147" i="5" a="1"/>
  <c r="C139" i="5" a="1"/>
  <c r="C143" i="5" a="1"/>
  <c r="D71" i="5"/>
  <c r="C146" i="5" a="1"/>
  <c r="C138" i="5" a="1"/>
  <c r="C142" i="5" a="1"/>
  <c r="C66" i="5" a="1"/>
  <c r="C53" i="5" a="1"/>
  <c r="C80" i="5"/>
  <c r="D80" i="5" s="1"/>
  <c r="E80" i="5" s="1"/>
  <c r="F80" i="5" s="1"/>
  <c r="G80" i="5" s="1"/>
  <c r="H80" i="5" s="1"/>
  <c r="I80" i="5" s="1"/>
  <c r="J80" i="5" s="1"/>
  <c r="K80" i="5" s="1"/>
  <c r="L80" i="5" s="1"/>
  <c r="M80" i="5" s="1"/>
  <c r="C65" i="5" a="1"/>
  <c r="C79" i="5"/>
  <c r="D79" i="5" s="1"/>
  <c r="E79" i="5" s="1"/>
  <c r="F79" i="5" s="1"/>
  <c r="G79" i="5" s="1"/>
  <c r="H79" i="5" s="1"/>
  <c r="I79" i="5" s="1"/>
  <c r="J79" i="5" s="1"/>
  <c r="K79" i="5" s="1"/>
  <c r="L79" i="5" s="1"/>
  <c r="M79" i="5" s="1"/>
  <c r="C52" i="5" a="1"/>
  <c r="C46" i="5"/>
  <c r="J46" i="5"/>
  <c r="J114" i="5" s="1"/>
  <c r="F46" i="5"/>
  <c r="M46" i="5"/>
  <c r="M114" i="5" s="1"/>
  <c r="I46" i="5"/>
  <c r="I114" i="5" s="1"/>
  <c r="E46" i="5"/>
  <c r="L46" i="5"/>
  <c r="L114" i="5" s="1"/>
  <c r="H46" i="5"/>
  <c r="H114" i="5" s="1"/>
  <c r="D46" i="5"/>
  <c r="K46" i="5"/>
  <c r="K114" i="5" s="1"/>
  <c r="G46" i="5"/>
  <c r="G114" i="5" s="1"/>
  <c r="D73" i="5"/>
  <c r="E73" i="5" s="1"/>
  <c r="F73" i="5" s="1"/>
  <c r="G73" i="5" s="1"/>
  <c r="H73" i="5" s="1"/>
  <c r="I73" i="5" s="1"/>
  <c r="J73" i="5" s="1"/>
  <c r="K73" i="5" s="1"/>
  <c r="L73" i="5" s="1"/>
  <c r="M73" i="5" s="1"/>
  <c r="C59" i="5"/>
  <c r="J59" i="5"/>
  <c r="J127" i="5" s="1"/>
  <c r="F59" i="5"/>
  <c r="M59" i="5"/>
  <c r="M127" i="5" s="1"/>
  <c r="I59" i="5"/>
  <c r="I127" i="5" s="1"/>
  <c r="E59" i="5"/>
  <c r="L59" i="5"/>
  <c r="L127" i="5" s="1"/>
  <c r="H59" i="5"/>
  <c r="H127" i="5" s="1"/>
  <c r="D59" i="5"/>
  <c r="K59" i="5"/>
  <c r="K127" i="5" s="1"/>
  <c r="G59" i="5"/>
  <c r="G127" i="5" s="1"/>
  <c r="D81" i="5"/>
  <c r="E81" i="5" s="1"/>
  <c r="F81" i="5" s="1"/>
  <c r="G81" i="5" s="1"/>
  <c r="H81" i="5" s="1"/>
  <c r="I81" i="5" s="1"/>
  <c r="J81" i="5" s="1"/>
  <c r="K81" i="5" s="1"/>
  <c r="L81" i="5" s="1"/>
  <c r="M81" i="5" s="1"/>
  <c r="D74" i="5"/>
  <c r="E74" i="5" s="1"/>
  <c r="F74" i="5" s="1"/>
  <c r="G74" i="5" s="1"/>
  <c r="H74" i="5" s="1"/>
  <c r="I74" i="5" s="1"/>
  <c r="J74" i="5" s="1"/>
  <c r="K74" i="5" s="1"/>
  <c r="L74" i="5" s="1"/>
  <c r="M74" i="5" s="1"/>
  <c r="D77" i="5"/>
  <c r="E77" i="5" s="1"/>
  <c r="F77" i="5" s="1"/>
  <c r="G77" i="5" s="1"/>
  <c r="H77" i="5" s="1"/>
  <c r="I77" i="5" s="1"/>
  <c r="J77" i="5" s="1"/>
  <c r="K77" i="5" s="1"/>
  <c r="L77" i="5" s="1"/>
  <c r="M77" i="5" s="1"/>
  <c r="D76" i="5"/>
  <c r="E76" i="5" s="1"/>
  <c r="F76" i="5" s="1"/>
  <c r="G76" i="5" s="1"/>
  <c r="H76" i="5" s="1"/>
  <c r="I76" i="5" s="1"/>
  <c r="J76" i="5" s="1"/>
  <c r="K76" i="5" s="1"/>
  <c r="L76" i="5" s="1"/>
  <c r="M76" i="5" s="1"/>
  <c r="D78" i="5"/>
  <c r="E78" i="5" s="1"/>
  <c r="F78" i="5" s="1"/>
  <c r="G78" i="5" s="1"/>
  <c r="H78" i="5" s="1"/>
  <c r="I78" i="5" s="1"/>
  <c r="J78" i="5" s="1"/>
  <c r="K78" i="5" s="1"/>
  <c r="L78" i="5" s="1"/>
  <c r="M78" i="5" s="1"/>
  <c r="E71" i="5"/>
  <c r="F71" i="5" s="1"/>
  <c r="G71" i="5" s="1"/>
  <c r="H71" i="5" s="1"/>
  <c r="I71" i="5" s="1"/>
  <c r="J71" i="5" s="1"/>
  <c r="K71" i="5" s="1"/>
  <c r="L71" i="5" s="1"/>
  <c r="M71" i="5" s="1"/>
  <c r="C61" i="5"/>
  <c r="J61" i="5"/>
  <c r="J129" i="5" s="1"/>
  <c r="F61" i="5"/>
  <c r="M61" i="5"/>
  <c r="M129" i="5" s="1"/>
  <c r="I61" i="5"/>
  <c r="I129" i="5" s="1"/>
  <c r="E61" i="5"/>
  <c r="L61" i="5"/>
  <c r="L129" i="5" s="1"/>
  <c r="H61" i="5"/>
  <c r="H129" i="5" s="1"/>
  <c r="D61" i="5"/>
  <c r="K61" i="5"/>
  <c r="K129" i="5" s="1"/>
  <c r="G61" i="5"/>
  <c r="G129" i="5" s="1"/>
  <c r="C48" i="5"/>
  <c r="J48" i="5"/>
  <c r="J116" i="5" s="1"/>
  <c r="F48" i="5"/>
  <c r="M48" i="5"/>
  <c r="M116" i="5" s="1"/>
  <c r="I48" i="5"/>
  <c r="I116" i="5" s="1"/>
  <c r="E48" i="5"/>
  <c r="L48" i="5"/>
  <c r="L116" i="5" s="1"/>
  <c r="H48" i="5"/>
  <c r="H116" i="5" s="1"/>
  <c r="D48" i="5"/>
  <c r="K48" i="5"/>
  <c r="K116" i="5" s="1"/>
  <c r="G48" i="5"/>
  <c r="G116" i="5" s="1"/>
  <c r="C60" i="5" a="1"/>
  <c r="C47" i="5" a="1"/>
  <c r="C50" i="5" a="1"/>
  <c r="C63" i="5" a="1"/>
  <c r="C62" i="5" a="1"/>
  <c r="C49" i="5" a="1"/>
  <c r="C64" i="5" a="1"/>
  <c r="C51" i="5" a="1"/>
  <c r="C57" i="5" a="1"/>
  <c r="C44" i="5" a="1"/>
  <c r="C54" i="5" a="1"/>
  <c r="C67" i="5" a="1"/>
  <c r="C45" i="5" a="1"/>
  <c r="C58" i="5" a="1"/>
  <c r="C138" i="5" l="1"/>
  <c r="J138" i="5"/>
  <c r="K67" i="3" s="1"/>
  <c r="F138" i="5"/>
  <c r="G67" i="3" s="1"/>
  <c r="M138" i="5"/>
  <c r="N67" i="3" s="1"/>
  <c r="I138" i="5"/>
  <c r="J67" i="3" s="1"/>
  <c r="E138" i="5"/>
  <c r="F67" i="3" s="1"/>
  <c r="L138" i="5"/>
  <c r="M67" i="3" s="1"/>
  <c r="H138" i="5"/>
  <c r="I67" i="3" s="1"/>
  <c r="D138" i="5"/>
  <c r="E67" i="3" s="1"/>
  <c r="K138" i="5"/>
  <c r="L67" i="3" s="1"/>
  <c r="G138" i="5"/>
  <c r="H67" i="3" s="1"/>
  <c r="C139" i="5"/>
  <c r="J139" i="5"/>
  <c r="K69" i="3" s="1"/>
  <c r="F139" i="5"/>
  <c r="G69" i="3" s="1"/>
  <c r="M139" i="5"/>
  <c r="N69" i="3" s="1"/>
  <c r="I139" i="5"/>
  <c r="J69" i="3" s="1"/>
  <c r="E139" i="5"/>
  <c r="F69" i="3" s="1"/>
  <c r="L139" i="5"/>
  <c r="M69" i="3" s="1"/>
  <c r="H139" i="5"/>
  <c r="I69" i="3" s="1"/>
  <c r="D139" i="5"/>
  <c r="E69" i="3" s="1"/>
  <c r="K139" i="5"/>
  <c r="L69" i="3" s="1"/>
  <c r="G139" i="5"/>
  <c r="H69" i="3" s="1"/>
  <c r="C142" i="5"/>
  <c r="J142" i="5"/>
  <c r="K73" i="3" s="1"/>
  <c r="F142" i="5"/>
  <c r="G73" i="3" s="1"/>
  <c r="M142" i="5"/>
  <c r="N73" i="3" s="1"/>
  <c r="I142" i="5"/>
  <c r="J73" i="3" s="1"/>
  <c r="E142" i="5"/>
  <c r="F73" i="3" s="1"/>
  <c r="L142" i="5"/>
  <c r="M73" i="3" s="1"/>
  <c r="H142" i="5"/>
  <c r="I73" i="3" s="1"/>
  <c r="D142" i="5"/>
  <c r="E73" i="3" s="1"/>
  <c r="K142" i="5"/>
  <c r="L73" i="3" s="1"/>
  <c r="G142" i="5"/>
  <c r="H73" i="3" s="1"/>
  <c r="C146" i="5"/>
  <c r="J146" i="5"/>
  <c r="K79" i="3" s="1"/>
  <c r="F146" i="5"/>
  <c r="G79" i="3" s="1"/>
  <c r="M146" i="5"/>
  <c r="N79" i="3" s="1"/>
  <c r="I146" i="5"/>
  <c r="J79" i="3" s="1"/>
  <c r="E146" i="5"/>
  <c r="F79" i="3" s="1"/>
  <c r="L146" i="5"/>
  <c r="M79" i="3" s="1"/>
  <c r="H146" i="5"/>
  <c r="I79" i="3" s="1"/>
  <c r="D146" i="5"/>
  <c r="E79" i="3" s="1"/>
  <c r="K146" i="5"/>
  <c r="L79" i="3" s="1"/>
  <c r="G146" i="5"/>
  <c r="H79" i="3" s="1"/>
  <c r="C143" i="5"/>
  <c r="J143" i="5"/>
  <c r="K75" i="3" s="1"/>
  <c r="F143" i="5"/>
  <c r="G75" i="3" s="1"/>
  <c r="M143" i="5"/>
  <c r="N75" i="3" s="1"/>
  <c r="I143" i="5"/>
  <c r="J75" i="3" s="1"/>
  <c r="E143" i="5"/>
  <c r="F75" i="3" s="1"/>
  <c r="L143" i="5"/>
  <c r="M75" i="3" s="1"/>
  <c r="H143" i="5"/>
  <c r="I75" i="3" s="1"/>
  <c r="D143" i="5"/>
  <c r="E75" i="3" s="1"/>
  <c r="K143" i="5"/>
  <c r="L75" i="3" s="1"/>
  <c r="G143" i="5"/>
  <c r="H75" i="3" s="1"/>
  <c r="C147" i="5"/>
  <c r="J147" i="5"/>
  <c r="K81" i="3" s="1"/>
  <c r="F147" i="5"/>
  <c r="G81" i="3" s="1"/>
  <c r="M147" i="5"/>
  <c r="N81" i="3" s="1"/>
  <c r="I147" i="5"/>
  <c r="J81" i="3" s="1"/>
  <c r="E147" i="5"/>
  <c r="F81" i="3" s="1"/>
  <c r="L147" i="5"/>
  <c r="M81" i="3" s="1"/>
  <c r="H147" i="5"/>
  <c r="I81" i="3" s="1"/>
  <c r="D147" i="5"/>
  <c r="E81" i="3" s="1"/>
  <c r="K147" i="5"/>
  <c r="L81" i="3" s="1"/>
  <c r="G147" i="5"/>
  <c r="H81" i="3" s="1"/>
  <c r="I66" i="5"/>
  <c r="L66" i="5"/>
  <c r="K66" i="5"/>
  <c r="K134" i="5" s="1"/>
  <c r="C66" i="5"/>
  <c r="J66" i="5"/>
  <c r="J134" i="5" s="1"/>
  <c r="D66" i="5"/>
  <c r="E66" i="5"/>
  <c r="H66" i="5"/>
  <c r="H134" i="5" s="1"/>
  <c r="G66" i="5"/>
  <c r="M66" i="5"/>
  <c r="F66" i="5"/>
  <c r="K52" i="5"/>
  <c r="K120" i="5" s="1"/>
  <c r="G52" i="5"/>
  <c r="G120" i="5" s="1"/>
  <c r="L52" i="5"/>
  <c r="I52" i="5"/>
  <c r="I120" i="5" s="1"/>
  <c r="M52" i="5"/>
  <c r="M120" i="5" s="1"/>
  <c r="F52" i="5"/>
  <c r="F120" i="5" s="1"/>
  <c r="D52" i="5"/>
  <c r="C52" i="5"/>
  <c r="H52" i="5"/>
  <c r="H120" i="5" s="1"/>
  <c r="E52" i="5"/>
  <c r="J52" i="5"/>
  <c r="J120" i="5" s="1"/>
  <c r="K65" i="5"/>
  <c r="K133" i="5" s="1"/>
  <c r="C65" i="5"/>
  <c r="H65" i="5"/>
  <c r="E65" i="5"/>
  <c r="J65" i="5"/>
  <c r="J133" i="5" s="1"/>
  <c r="D65" i="5"/>
  <c r="G65" i="5"/>
  <c r="L65" i="5"/>
  <c r="L133" i="5" s="1"/>
  <c r="I65" i="5"/>
  <c r="M65" i="5"/>
  <c r="M133" i="5" s="1"/>
  <c r="F65" i="5"/>
  <c r="D53" i="5"/>
  <c r="L53" i="5"/>
  <c r="I53" i="5"/>
  <c r="E53" i="5"/>
  <c r="F53" i="5"/>
  <c r="M53" i="5"/>
  <c r="G53" i="5"/>
  <c r="G121" i="5" s="1"/>
  <c r="H53" i="5"/>
  <c r="H121" i="5" s="1"/>
  <c r="J53" i="5"/>
  <c r="J121" i="5" s="1"/>
  <c r="C53" i="5"/>
  <c r="K53" i="5"/>
  <c r="F35" i="3"/>
  <c r="E116" i="5"/>
  <c r="E55" i="3"/>
  <c r="D129" i="5"/>
  <c r="G55" i="3"/>
  <c r="F129" i="5"/>
  <c r="D55" i="3"/>
  <c r="C129" i="5"/>
  <c r="E51" i="3"/>
  <c r="D127" i="5"/>
  <c r="G51" i="3"/>
  <c r="F127" i="5"/>
  <c r="D51" i="3"/>
  <c r="C127" i="5"/>
  <c r="E101" i="5" s="1"/>
  <c r="E11" i="3" s="1"/>
  <c r="E31" i="3"/>
  <c r="D114" i="5"/>
  <c r="G31" i="3"/>
  <c r="F114" i="5"/>
  <c r="D31" i="3"/>
  <c r="C114" i="5"/>
  <c r="E35" i="3"/>
  <c r="D116" i="5"/>
  <c r="G35" i="3"/>
  <c r="F116" i="5"/>
  <c r="D35" i="3"/>
  <c r="C116" i="5"/>
  <c r="F55" i="3"/>
  <c r="E129" i="5"/>
  <c r="F51" i="3"/>
  <c r="E127" i="5"/>
  <c r="F31" i="3"/>
  <c r="E114" i="5"/>
  <c r="F134" i="5"/>
  <c r="M134" i="5"/>
  <c r="I134" i="5"/>
  <c r="L134" i="5"/>
  <c r="G134" i="5"/>
  <c r="C45" i="5"/>
  <c r="J45" i="5"/>
  <c r="F45" i="5"/>
  <c r="M45" i="5"/>
  <c r="I45" i="5"/>
  <c r="E45" i="5"/>
  <c r="L45" i="5"/>
  <c r="H45" i="5"/>
  <c r="D45" i="5"/>
  <c r="K45" i="5"/>
  <c r="G45" i="5"/>
  <c r="L120" i="5"/>
  <c r="C54" i="5"/>
  <c r="J54" i="5"/>
  <c r="J122" i="5" s="1"/>
  <c r="F54" i="5"/>
  <c r="M54" i="5"/>
  <c r="M122" i="5" s="1"/>
  <c r="I54" i="5"/>
  <c r="I122" i="5" s="1"/>
  <c r="E54" i="5"/>
  <c r="L54" i="5"/>
  <c r="L122" i="5" s="1"/>
  <c r="H54" i="5"/>
  <c r="H122" i="5" s="1"/>
  <c r="D54" i="5"/>
  <c r="K54" i="5"/>
  <c r="K122" i="5" s="1"/>
  <c r="G54" i="5"/>
  <c r="G122" i="5" s="1"/>
  <c r="C57" i="5"/>
  <c r="J57" i="5"/>
  <c r="F57" i="5"/>
  <c r="M57" i="5"/>
  <c r="I57" i="5"/>
  <c r="E57" i="5"/>
  <c r="L57" i="5"/>
  <c r="H57" i="5"/>
  <c r="D57" i="5"/>
  <c r="K57" i="5"/>
  <c r="G57" i="5"/>
  <c r="C64" i="5"/>
  <c r="J64" i="5"/>
  <c r="J132" i="5" s="1"/>
  <c r="F64" i="5"/>
  <c r="F132" i="5" s="1"/>
  <c r="M64" i="5"/>
  <c r="M132" i="5" s="1"/>
  <c r="I64" i="5"/>
  <c r="I132" i="5" s="1"/>
  <c r="E64" i="5"/>
  <c r="L64" i="5"/>
  <c r="L132" i="5" s="1"/>
  <c r="H64" i="5"/>
  <c r="H132" i="5" s="1"/>
  <c r="D64" i="5"/>
  <c r="K64" i="5"/>
  <c r="K132" i="5" s="1"/>
  <c r="G64" i="5"/>
  <c r="G132" i="5" s="1"/>
  <c r="C62" i="5"/>
  <c r="J62" i="5"/>
  <c r="J130" i="5" s="1"/>
  <c r="F62" i="5"/>
  <c r="M62" i="5"/>
  <c r="M130" i="5" s="1"/>
  <c r="I62" i="5"/>
  <c r="I130" i="5" s="1"/>
  <c r="E62" i="5"/>
  <c r="L62" i="5"/>
  <c r="L130" i="5" s="1"/>
  <c r="H62" i="5"/>
  <c r="H130" i="5" s="1"/>
  <c r="D62" i="5"/>
  <c r="K62" i="5"/>
  <c r="K130" i="5" s="1"/>
  <c r="G62" i="5"/>
  <c r="C50" i="5"/>
  <c r="J50" i="5"/>
  <c r="J118" i="5" s="1"/>
  <c r="F50" i="5"/>
  <c r="F118" i="5" s="1"/>
  <c r="M50" i="5"/>
  <c r="M118" i="5" s="1"/>
  <c r="I50" i="5"/>
  <c r="I118" i="5" s="1"/>
  <c r="E50" i="5"/>
  <c r="L50" i="5"/>
  <c r="L118" i="5" s="1"/>
  <c r="H50" i="5"/>
  <c r="H118" i="5" s="1"/>
  <c r="D50" i="5"/>
  <c r="K50" i="5"/>
  <c r="K118" i="5" s="1"/>
  <c r="G50" i="5"/>
  <c r="G118" i="5" s="1"/>
  <c r="C60" i="5"/>
  <c r="J60" i="5"/>
  <c r="J128" i="5" s="1"/>
  <c r="F60" i="5"/>
  <c r="M60" i="5"/>
  <c r="M128" i="5" s="1"/>
  <c r="I60" i="5"/>
  <c r="I128" i="5" s="1"/>
  <c r="E60" i="5"/>
  <c r="L60" i="5"/>
  <c r="L128" i="5" s="1"/>
  <c r="H60" i="5"/>
  <c r="H128" i="5" s="1"/>
  <c r="D60" i="5"/>
  <c r="K60" i="5"/>
  <c r="K128" i="5" s="1"/>
  <c r="G60" i="5"/>
  <c r="G128" i="5" s="1"/>
  <c r="F121" i="5"/>
  <c r="M121" i="5"/>
  <c r="I121" i="5"/>
  <c r="L121" i="5"/>
  <c r="K121" i="5"/>
  <c r="C58" i="5"/>
  <c r="J58" i="5"/>
  <c r="F58" i="5"/>
  <c r="M58" i="5"/>
  <c r="I58" i="5"/>
  <c r="E58" i="5"/>
  <c r="L58" i="5"/>
  <c r="H58" i="5"/>
  <c r="D58" i="5"/>
  <c r="K58" i="5"/>
  <c r="G58" i="5"/>
  <c r="F133" i="5"/>
  <c r="I133" i="5"/>
  <c r="H133" i="5"/>
  <c r="G133" i="5"/>
  <c r="C67" i="5"/>
  <c r="J67" i="5"/>
  <c r="J135" i="5" s="1"/>
  <c r="F67" i="5"/>
  <c r="M67" i="5"/>
  <c r="M135" i="5" s="1"/>
  <c r="I67" i="5"/>
  <c r="I135" i="5" s="1"/>
  <c r="E67" i="5"/>
  <c r="L67" i="5"/>
  <c r="L135" i="5" s="1"/>
  <c r="H67" i="5"/>
  <c r="H135" i="5" s="1"/>
  <c r="D67" i="5"/>
  <c r="K67" i="5"/>
  <c r="K135" i="5" s="1"/>
  <c r="G67" i="5"/>
  <c r="G135" i="5" s="1"/>
  <c r="C44" i="5"/>
  <c r="J44" i="5"/>
  <c r="F44" i="5"/>
  <c r="M44" i="5"/>
  <c r="I44" i="5"/>
  <c r="E44" i="5"/>
  <c r="L44" i="5"/>
  <c r="H44" i="5"/>
  <c r="D44" i="5"/>
  <c r="K44" i="5"/>
  <c r="G44" i="5"/>
  <c r="C51" i="5"/>
  <c r="J51" i="5"/>
  <c r="J119" i="5" s="1"/>
  <c r="F51" i="5"/>
  <c r="F119" i="5" s="1"/>
  <c r="M51" i="5"/>
  <c r="M119" i="5" s="1"/>
  <c r="I51" i="5"/>
  <c r="I119" i="5" s="1"/>
  <c r="E51" i="5"/>
  <c r="L51" i="5"/>
  <c r="L119" i="5" s="1"/>
  <c r="H51" i="5"/>
  <c r="H119" i="5" s="1"/>
  <c r="D51" i="5"/>
  <c r="K51" i="5"/>
  <c r="K119" i="5" s="1"/>
  <c r="G51" i="5"/>
  <c r="G119" i="5" s="1"/>
  <c r="C49" i="5"/>
  <c r="J49" i="5"/>
  <c r="J117" i="5" s="1"/>
  <c r="F49" i="5"/>
  <c r="M49" i="5"/>
  <c r="M117" i="5" s="1"/>
  <c r="I49" i="5"/>
  <c r="I117" i="5" s="1"/>
  <c r="E49" i="5"/>
  <c r="L49" i="5"/>
  <c r="L117" i="5" s="1"/>
  <c r="H49" i="5"/>
  <c r="H117" i="5" s="1"/>
  <c r="D49" i="5"/>
  <c r="K49" i="5"/>
  <c r="K117" i="5" s="1"/>
  <c r="G49" i="5"/>
  <c r="C63" i="5"/>
  <c r="J63" i="5"/>
  <c r="J131" i="5" s="1"/>
  <c r="F63" i="5"/>
  <c r="F131" i="5" s="1"/>
  <c r="M63" i="5"/>
  <c r="M131" i="5" s="1"/>
  <c r="I63" i="5"/>
  <c r="I131" i="5" s="1"/>
  <c r="E63" i="5"/>
  <c r="L63" i="5"/>
  <c r="L131" i="5" s="1"/>
  <c r="H63" i="5"/>
  <c r="H131" i="5" s="1"/>
  <c r="D63" i="5"/>
  <c r="K63" i="5"/>
  <c r="K131" i="5" s="1"/>
  <c r="G63" i="5"/>
  <c r="G131" i="5" s="1"/>
  <c r="C47" i="5"/>
  <c r="J47" i="5"/>
  <c r="J115" i="5" s="1"/>
  <c r="F47" i="5"/>
  <c r="M47" i="5"/>
  <c r="M115" i="5" s="1"/>
  <c r="I47" i="5"/>
  <c r="I115" i="5" s="1"/>
  <c r="E47" i="5"/>
  <c r="L47" i="5"/>
  <c r="L115" i="5" s="1"/>
  <c r="H47" i="5"/>
  <c r="H115" i="5" s="1"/>
  <c r="D47" i="5"/>
  <c r="K47" i="5"/>
  <c r="K115" i="5" s="1"/>
  <c r="G47" i="5"/>
  <c r="G115" i="5" s="1"/>
  <c r="K86" i="5" l="1"/>
  <c r="D14" i="3" s="1"/>
  <c r="K85" i="5"/>
  <c r="C14" i="3" s="1"/>
  <c r="L85" i="5"/>
  <c r="C15" i="3" s="1"/>
  <c r="C24" i="17" s="1"/>
  <c r="D101" i="5"/>
  <c r="E10" i="3" s="1"/>
  <c r="L86" i="5"/>
  <c r="D15" i="3" s="1"/>
  <c r="E20" i="17"/>
  <c r="E21" i="17"/>
  <c r="D87" i="5"/>
  <c r="E6" i="3" s="1"/>
  <c r="D23" i="17"/>
  <c r="D75" i="3"/>
  <c r="O143" i="5"/>
  <c r="J91" i="5"/>
  <c r="D73" i="3"/>
  <c r="O142" i="5"/>
  <c r="J90" i="5"/>
  <c r="D67" i="3"/>
  <c r="O138" i="5"/>
  <c r="J85" i="5"/>
  <c r="E87" i="5"/>
  <c r="E7" i="3" s="1"/>
  <c r="L96" i="5"/>
  <c r="D23" i="3" s="1"/>
  <c r="L91" i="5"/>
  <c r="D19" i="3" s="1"/>
  <c r="K91" i="5"/>
  <c r="D18" i="3" s="1"/>
  <c r="L90" i="5"/>
  <c r="C19" i="3" s="1"/>
  <c r="K95" i="5"/>
  <c r="C22" i="3" s="1"/>
  <c r="D81" i="3"/>
  <c r="O147" i="5"/>
  <c r="J96" i="5"/>
  <c r="D79" i="3"/>
  <c r="O146" i="5"/>
  <c r="J95" i="5"/>
  <c r="D69" i="3"/>
  <c r="O139" i="5"/>
  <c r="J86" i="5"/>
  <c r="K96" i="5"/>
  <c r="D22" i="3" s="1"/>
  <c r="K90" i="5"/>
  <c r="C18" i="3" s="1"/>
  <c r="L95" i="5"/>
  <c r="C23" i="3" s="1"/>
  <c r="D89" i="5"/>
  <c r="G6" i="3" s="1"/>
  <c r="E89" i="5"/>
  <c r="G7" i="3" s="1"/>
  <c r="D103" i="5"/>
  <c r="G10" i="3" s="1"/>
  <c r="E103" i="5"/>
  <c r="G11" i="3" s="1"/>
  <c r="E63" i="3"/>
  <c r="D135" i="5"/>
  <c r="G63" i="3"/>
  <c r="F135" i="5"/>
  <c r="D63" i="3"/>
  <c r="C135" i="5"/>
  <c r="F43" i="3"/>
  <c r="E122" i="5"/>
  <c r="F63" i="3"/>
  <c r="E135" i="5"/>
  <c r="E43" i="3"/>
  <c r="D122" i="5"/>
  <c r="G43" i="3"/>
  <c r="F122" i="5"/>
  <c r="D43" i="3"/>
  <c r="C122" i="5"/>
  <c r="E59" i="3"/>
  <c r="D131" i="5"/>
  <c r="D59" i="3"/>
  <c r="C131" i="5"/>
  <c r="E133" i="5"/>
  <c r="E121" i="5"/>
  <c r="D53" i="3"/>
  <c r="C128" i="5"/>
  <c r="F39" i="3"/>
  <c r="E118" i="5"/>
  <c r="E33" i="3"/>
  <c r="D115" i="5"/>
  <c r="G33" i="3"/>
  <c r="F115" i="5"/>
  <c r="D33" i="3"/>
  <c r="C115" i="5"/>
  <c r="F59" i="3"/>
  <c r="E131" i="5"/>
  <c r="H37" i="3"/>
  <c r="G117" i="5"/>
  <c r="E37" i="3"/>
  <c r="D117" i="5"/>
  <c r="G37" i="3"/>
  <c r="F117" i="5"/>
  <c r="D37" i="3"/>
  <c r="C117" i="5"/>
  <c r="F41" i="3"/>
  <c r="E119" i="5"/>
  <c r="D133" i="5"/>
  <c r="E107" i="5" s="1"/>
  <c r="C133" i="5"/>
  <c r="D121" i="5"/>
  <c r="E94" i="5" s="1"/>
  <c r="C121" i="5"/>
  <c r="F53" i="3"/>
  <c r="E128" i="5"/>
  <c r="E39" i="3"/>
  <c r="D118" i="5"/>
  <c r="E91" i="5" s="1"/>
  <c r="I7" i="3" s="1"/>
  <c r="D39" i="3"/>
  <c r="C118" i="5"/>
  <c r="F57" i="3"/>
  <c r="E130" i="5"/>
  <c r="E61" i="3"/>
  <c r="D132" i="5"/>
  <c r="D61" i="3"/>
  <c r="C132" i="5"/>
  <c r="E120" i="5"/>
  <c r="E134" i="5"/>
  <c r="F33" i="3"/>
  <c r="E115" i="5"/>
  <c r="F37" i="3"/>
  <c r="E117" i="5"/>
  <c r="E41" i="3"/>
  <c r="D119" i="5"/>
  <c r="E92" i="5" s="1"/>
  <c r="J7" i="3" s="1"/>
  <c r="D41" i="3"/>
  <c r="C119" i="5"/>
  <c r="E53" i="3"/>
  <c r="D128" i="5"/>
  <c r="G53" i="3"/>
  <c r="F128" i="5"/>
  <c r="H57" i="3"/>
  <c r="G130" i="5"/>
  <c r="E57" i="3"/>
  <c r="D130" i="5"/>
  <c r="G57" i="3"/>
  <c r="F130" i="5"/>
  <c r="D57" i="3"/>
  <c r="C130" i="5"/>
  <c r="F61" i="3"/>
  <c r="E132" i="5"/>
  <c r="D120" i="5"/>
  <c r="C120" i="5"/>
  <c r="D134" i="5"/>
  <c r="E108" i="5" s="1"/>
  <c r="C134" i="5"/>
  <c r="C89" i="5"/>
  <c r="C87" i="5"/>
  <c r="E5" i="3" s="1"/>
  <c r="C101" i="5"/>
  <c r="E9" i="3" s="1"/>
  <c r="C103" i="5"/>
  <c r="H27" i="3"/>
  <c r="G112" i="5"/>
  <c r="E27" i="3"/>
  <c r="D112" i="5"/>
  <c r="M27" i="3"/>
  <c r="L112" i="5"/>
  <c r="J27" i="3"/>
  <c r="I112" i="5"/>
  <c r="G27" i="3"/>
  <c r="F112" i="5"/>
  <c r="D27" i="3"/>
  <c r="C112" i="5"/>
  <c r="L47" i="3"/>
  <c r="K125" i="5"/>
  <c r="I47" i="3"/>
  <c r="H125" i="5"/>
  <c r="F47" i="3"/>
  <c r="E125" i="5"/>
  <c r="N47" i="3"/>
  <c r="M125" i="5"/>
  <c r="K47" i="3"/>
  <c r="J125" i="5"/>
  <c r="L27" i="3"/>
  <c r="K112" i="5"/>
  <c r="I27" i="3"/>
  <c r="H112" i="5"/>
  <c r="F27" i="3"/>
  <c r="E112" i="5"/>
  <c r="D85" i="5" s="1"/>
  <c r="C6" i="3" s="1"/>
  <c r="N27" i="3"/>
  <c r="M112" i="5"/>
  <c r="K27" i="3"/>
  <c r="J112" i="5"/>
  <c r="H47" i="3"/>
  <c r="G125" i="5"/>
  <c r="E47" i="3"/>
  <c r="D125" i="5"/>
  <c r="M47" i="3"/>
  <c r="L125" i="5"/>
  <c r="J47" i="3"/>
  <c r="I125" i="5"/>
  <c r="G47" i="3"/>
  <c r="F125" i="5"/>
  <c r="D47" i="3"/>
  <c r="C125" i="5"/>
  <c r="C99" i="5" s="1"/>
  <c r="L49" i="3"/>
  <c r="K126" i="5"/>
  <c r="I49" i="3"/>
  <c r="H126" i="5"/>
  <c r="F49" i="3"/>
  <c r="E126" i="5"/>
  <c r="N49" i="3"/>
  <c r="M126" i="5"/>
  <c r="K49" i="3"/>
  <c r="J126" i="5"/>
  <c r="H29" i="3"/>
  <c r="G113" i="5"/>
  <c r="E29" i="3"/>
  <c r="D113" i="5"/>
  <c r="M29" i="3"/>
  <c r="L113" i="5"/>
  <c r="J29" i="3"/>
  <c r="I113" i="5"/>
  <c r="G29" i="3"/>
  <c r="F113" i="5"/>
  <c r="D29" i="3"/>
  <c r="C113" i="5"/>
  <c r="H49" i="3"/>
  <c r="G126" i="5"/>
  <c r="E49" i="3"/>
  <c r="D126" i="5"/>
  <c r="M49" i="3"/>
  <c r="L126" i="5"/>
  <c r="J49" i="3"/>
  <c r="I126" i="5"/>
  <c r="G49" i="3"/>
  <c r="F126" i="5"/>
  <c r="D49" i="3"/>
  <c r="C126" i="5"/>
  <c r="L29" i="3"/>
  <c r="K113" i="5"/>
  <c r="I29" i="3"/>
  <c r="H113" i="5"/>
  <c r="F29" i="3"/>
  <c r="E113" i="5"/>
  <c r="N29" i="3"/>
  <c r="M113" i="5"/>
  <c r="K29" i="3"/>
  <c r="J113" i="5"/>
  <c r="F4" i="12"/>
  <c r="D6" i="12"/>
  <c r="H6" i="12"/>
  <c r="F7" i="12"/>
  <c r="D8" i="12"/>
  <c r="H8" i="12"/>
  <c r="M11" i="12"/>
  <c r="K13" i="12"/>
  <c r="G3" i="12"/>
  <c r="G4" i="12"/>
  <c r="C6" i="12"/>
  <c r="C7" i="12"/>
  <c r="C8" i="12"/>
  <c r="I9" i="12"/>
  <c r="I14" i="12" s="1"/>
  <c r="L11" i="12"/>
  <c r="M12" i="12"/>
  <c r="D3" i="12"/>
  <c r="H3" i="12"/>
  <c r="D4" i="12"/>
  <c r="H4" i="12"/>
  <c r="F6" i="12"/>
  <c r="D7" i="12"/>
  <c r="H7" i="12"/>
  <c r="F8" i="12"/>
  <c r="K11" i="12"/>
  <c r="L12" i="12"/>
  <c r="M13" i="12"/>
  <c r="C4" i="12"/>
  <c r="E5" i="12"/>
  <c r="E14" i="12" s="1"/>
  <c r="G6" i="12"/>
  <c r="G7" i="12"/>
  <c r="G8" i="12"/>
  <c r="J10" i="12"/>
  <c r="J14" i="12" s="1"/>
  <c r="K12" i="12"/>
  <c r="L13" i="12"/>
  <c r="F3" i="12"/>
  <c r="C100" i="5" l="1"/>
  <c r="D9" i="3" s="1"/>
  <c r="D19" i="17" s="1"/>
  <c r="E99" i="5"/>
  <c r="C11" i="3" s="1"/>
  <c r="C21" i="17" s="1"/>
  <c r="C23" i="17"/>
  <c r="D24" i="17"/>
  <c r="D86" i="5"/>
  <c r="D6" i="3" s="1"/>
  <c r="D17" i="17" s="1"/>
  <c r="E100" i="5"/>
  <c r="D11" i="3" s="1"/>
  <c r="D100" i="5"/>
  <c r="D10" i="3" s="1"/>
  <c r="J18" i="17"/>
  <c r="I18" i="17"/>
  <c r="G20" i="17"/>
  <c r="G17" i="17"/>
  <c r="G21" i="17"/>
  <c r="G18" i="17"/>
  <c r="E19" i="17"/>
  <c r="E34" i="17" s="1"/>
  <c r="E18" i="17"/>
  <c r="E17" i="17"/>
  <c r="E16" i="17"/>
  <c r="D20" i="17"/>
  <c r="D29" i="17"/>
  <c r="D26" i="17"/>
  <c r="D30" i="17"/>
  <c r="D27" i="17"/>
  <c r="C17" i="17"/>
  <c r="C30" i="17"/>
  <c r="C29" i="17"/>
  <c r="D99" i="5"/>
  <c r="C10" i="3" s="1"/>
  <c r="C85" i="5"/>
  <c r="C5" i="3" s="1"/>
  <c r="C26" i="17"/>
  <c r="C27" i="17"/>
  <c r="O95" i="5"/>
  <c r="C21" i="3"/>
  <c r="C13" i="3"/>
  <c r="O85" i="5"/>
  <c r="D17" i="3"/>
  <c r="O91" i="5"/>
  <c r="O86" i="5"/>
  <c r="D13" i="3"/>
  <c r="D21" i="3"/>
  <c r="O96" i="5"/>
  <c r="C17" i="3"/>
  <c r="O90" i="5"/>
  <c r="E93" i="5"/>
  <c r="F14" i="12"/>
  <c r="D14" i="12"/>
  <c r="D18" i="12" s="1"/>
  <c r="L14" i="12"/>
  <c r="K14" i="12"/>
  <c r="H14" i="12"/>
  <c r="G14" i="12"/>
  <c r="M14" i="12"/>
  <c r="M27" i="12" s="1"/>
  <c r="G101" i="5"/>
  <c r="C9" i="3"/>
  <c r="D95" i="5"/>
  <c r="K6" i="3" s="1"/>
  <c r="C95" i="5"/>
  <c r="K5" i="3" s="1"/>
  <c r="D109" i="5"/>
  <c r="K10" i="3" s="1"/>
  <c r="C109" i="5"/>
  <c r="K9" i="3" s="1"/>
  <c r="D108" i="5"/>
  <c r="C108" i="5"/>
  <c r="D94" i="5"/>
  <c r="C94" i="5"/>
  <c r="D93" i="5"/>
  <c r="C93" i="5"/>
  <c r="D107" i="5"/>
  <c r="C107" i="5"/>
  <c r="D92" i="5"/>
  <c r="J6" i="3" s="1"/>
  <c r="C92" i="5"/>
  <c r="J5" i="3" s="1"/>
  <c r="D106" i="5"/>
  <c r="J10" i="3" s="1"/>
  <c r="C106" i="5"/>
  <c r="J9" i="3" s="1"/>
  <c r="D91" i="5"/>
  <c r="I6" i="3" s="1"/>
  <c r="C91" i="5"/>
  <c r="I5" i="3" s="1"/>
  <c r="D105" i="5"/>
  <c r="I10" i="3" s="1"/>
  <c r="C105" i="5"/>
  <c r="I9" i="3" s="1"/>
  <c r="D104" i="5"/>
  <c r="H10" i="3" s="1"/>
  <c r="C104" i="5"/>
  <c r="H9" i="3" s="1"/>
  <c r="D90" i="5"/>
  <c r="H6" i="3" s="1"/>
  <c r="C90" i="5"/>
  <c r="H5" i="3" s="1"/>
  <c r="D88" i="5"/>
  <c r="F6" i="3" s="1"/>
  <c r="E88" i="5"/>
  <c r="F7" i="3" s="1"/>
  <c r="D102" i="5"/>
  <c r="F10" i="3" s="1"/>
  <c r="E102" i="5"/>
  <c r="F11" i="3" s="1"/>
  <c r="E104" i="5"/>
  <c r="E95" i="5"/>
  <c r="K7" i="3" s="1"/>
  <c r="E109" i="5"/>
  <c r="G103" i="5"/>
  <c r="G9" i="3"/>
  <c r="G5" i="3"/>
  <c r="G89" i="5"/>
  <c r="E106" i="5"/>
  <c r="G87" i="5"/>
  <c r="C102" i="5"/>
  <c r="E90" i="5"/>
  <c r="C88" i="5"/>
  <c r="E105" i="5"/>
  <c r="I11" i="3" s="1"/>
  <c r="E85" i="5"/>
  <c r="J24" i="12"/>
  <c r="E19" i="12"/>
  <c r="C3" i="12"/>
  <c r="C14" i="12" s="1"/>
  <c r="C21" i="12" s="1"/>
  <c r="C86" i="5"/>
  <c r="E86" i="5"/>
  <c r="D7" i="3" s="1"/>
  <c r="E33" i="17" l="1"/>
  <c r="E40" i="17" s="1"/>
  <c r="E13" i="18" s="1"/>
  <c r="D21" i="17"/>
  <c r="D34" i="17" s="1"/>
  <c r="G100" i="5"/>
  <c r="H18" i="12"/>
  <c r="D21" i="12"/>
  <c r="K20" i="17"/>
  <c r="K17" i="17"/>
  <c r="K18" i="17"/>
  <c r="K19" i="17"/>
  <c r="K16" i="17"/>
  <c r="J20" i="17"/>
  <c r="J17" i="17"/>
  <c r="J19" i="17"/>
  <c r="J16" i="17"/>
  <c r="J33" i="17" s="1"/>
  <c r="I21" i="17"/>
  <c r="I20" i="17"/>
  <c r="I17" i="17"/>
  <c r="I19" i="17"/>
  <c r="I16" i="17"/>
  <c r="H17" i="17"/>
  <c r="H20" i="17"/>
  <c r="H16" i="17"/>
  <c r="H19" i="17"/>
  <c r="G16" i="17"/>
  <c r="G33" i="17" s="1"/>
  <c r="G19" i="17"/>
  <c r="G34" i="17" s="1"/>
  <c r="F20" i="17"/>
  <c r="F17" i="17"/>
  <c r="F21" i="17"/>
  <c r="F18" i="17"/>
  <c r="D18" i="17"/>
  <c r="D28" i="17"/>
  <c r="D37" i="17" s="1"/>
  <c r="D25" i="17"/>
  <c r="D36" i="17" s="1"/>
  <c r="D22" i="17"/>
  <c r="D35" i="17" s="1"/>
  <c r="C19" i="17"/>
  <c r="C28" i="17"/>
  <c r="C37" i="17" s="1"/>
  <c r="C16" i="17"/>
  <c r="G99" i="5"/>
  <c r="C25" i="17"/>
  <c r="C36" i="17" s="1"/>
  <c r="C22" i="17"/>
  <c r="C35" i="17" s="1"/>
  <c r="C20" i="17"/>
  <c r="D22" i="12"/>
  <c r="G20" i="12"/>
  <c r="G17" i="12"/>
  <c r="D20" i="12"/>
  <c r="D17" i="12"/>
  <c r="G93" i="5"/>
  <c r="M26" i="12"/>
  <c r="F18" i="12"/>
  <c r="C22" i="12"/>
  <c r="C25" i="12"/>
  <c r="C27" i="12"/>
  <c r="C23" i="12"/>
  <c r="C19" i="12"/>
  <c r="C26" i="12"/>
  <c r="C24" i="12"/>
  <c r="G107" i="5"/>
  <c r="G92" i="5"/>
  <c r="C20" i="12"/>
  <c r="C18" i="12"/>
  <c r="H20" i="12"/>
  <c r="F20" i="12"/>
  <c r="F21" i="12"/>
  <c r="F22" i="12"/>
  <c r="G91" i="5"/>
  <c r="G108" i="5"/>
  <c r="G94" i="5"/>
  <c r="K11" i="3"/>
  <c r="G109" i="5"/>
  <c r="H11" i="3"/>
  <c r="G104" i="5"/>
  <c r="G95" i="5"/>
  <c r="H7" i="3"/>
  <c r="G90" i="5"/>
  <c r="J11" i="3"/>
  <c r="G106" i="5"/>
  <c r="G105" i="5"/>
  <c r="F5" i="3"/>
  <c r="G88" i="5"/>
  <c r="F9" i="3"/>
  <c r="G102" i="5"/>
  <c r="C7" i="3"/>
  <c r="G85" i="5"/>
  <c r="G21" i="12"/>
  <c r="G22" i="12"/>
  <c r="H22" i="12"/>
  <c r="H21" i="12"/>
  <c r="H17" i="12"/>
  <c r="M18" i="12"/>
  <c r="M23" i="12"/>
  <c r="M19" i="12"/>
  <c r="M17" i="12"/>
  <c r="M22" i="12"/>
  <c r="M21" i="12"/>
  <c r="M24" i="12"/>
  <c r="M20" i="12"/>
  <c r="I18" i="12"/>
  <c r="I17" i="12"/>
  <c r="I24" i="12"/>
  <c r="I22" i="12"/>
  <c r="I19" i="12"/>
  <c r="I25" i="12"/>
  <c r="I26" i="12"/>
  <c r="I27" i="12"/>
  <c r="I20" i="12"/>
  <c r="I21" i="12"/>
  <c r="K18" i="12"/>
  <c r="K19" i="12"/>
  <c r="K17" i="12"/>
  <c r="K22" i="12"/>
  <c r="K21" i="12"/>
  <c r="K23" i="12"/>
  <c r="K20" i="12"/>
  <c r="K24" i="12"/>
  <c r="L19" i="12"/>
  <c r="L17" i="12"/>
  <c r="L24" i="12"/>
  <c r="L18" i="12"/>
  <c r="L22" i="12"/>
  <c r="L23" i="12"/>
  <c r="L21" i="12"/>
  <c r="L20" i="12"/>
  <c r="G18" i="12"/>
  <c r="G19" i="12"/>
  <c r="G23" i="12"/>
  <c r="G24" i="12"/>
  <c r="G25" i="12"/>
  <c r="G26" i="12"/>
  <c r="G27" i="12"/>
  <c r="H19" i="12"/>
  <c r="H24" i="12"/>
  <c r="H25" i="12"/>
  <c r="H26" i="12"/>
  <c r="H27" i="12"/>
  <c r="H23" i="12"/>
  <c r="D19" i="12"/>
  <c r="D23" i="12"/>
  <c r="D24" i="12"/>
  <c r="D25" i="12"/>
  <c r="D26" i="12"/>
  <c r="D27" i="12"/>
  <c r="C17" i="12"/>
  <c r="F19" i="12"/>
  <c r="F23" i="12"/>
  <c r="F24" i="12"/>
  <c r="F25" i="12"/>
  <c r="F26" i="12"/>
  <c r="F27" i="12"/>
  <c r="K26" i="12"/>
  <c r="M25" i="12"/>
  <c r="I23" i="12"/>
  <c r="K25" i="12"/>
  <c r="K27" i="12"/>
  <c r="L26" i="12"/>
  <c r="L27" i="12"/>
  <c r="L25" i="12"/>
  <c r="E18" i="12"/>
  <c r="E17" i="12"/>
  <c r="E23" i="12"/>
  <c r="E24" i="12"/>
  <c r="E22" i="12"/>
  <c r="E25" i="12"/>
  <c r="E26" i="12"/>
  <c r="E27" i="12"/>
  <c r="E21" i="12"/>
  <c r="E20" i="12"/>
  <c r="J19" i="12"/>
  <c r="J25" i="12"/>
  <c r="J26" i="12"/>
  <c r="J27" i="12"/>
  <c r="J17" i="12"/>
  <c r="J21" i="12"/>
  <c r="J18" i="12"/>
  <c r="J22" i="12"/>
  <c r="J20" i="12"/>
  <c r="J23" i="12"/>
  <c r="F17" i="12"/>
  <c r="G86" i="5"/>
  <c r="D5" i="3"/>
  <c r="I33" i="17" l="1"/>
  <c r="I34" i="17"/>
  <c r="M33" i="17"/>
  <c r="K21" i="17"/>
  <c r="M34" i="17" s="1"/>
  <c r="J21" i="17"/>
  <c r="J34" i="17" s="1"/>
  <c r="J40" i="17" s="1"/>
  <c r="J13" i="18" s="1"/>
  <c r="H18" i="17"/>
  <c r="H33" i="17" s="1"/>
  <c r="H21" i="17"/>
  <c r="H34" i="17" s="1"/>
  <c r="G40" i="17"/>
  <c r="G13" i="18" s="1"/>
  <c r="F19" i="17"/>
  <c r="F34" i="17" s="1"/>
  <c r="F16" i="17"/>
  <c r="F33" i="17" s="1"/>
  <c r="D16" i="17"/>
  <c r="D33" i="17" s="1"/>
  <c r="D40" i="17" s="1"/>
  <c r="D13" i="18" s="1"/>
  <c r="C18" i="17"/>
  <c r="C33" i="17" s="1"/>
  <c r="C34" i="17"/>
  <c r="O21" i="12"/>
  <c r="F30" i="12" s="1"/>
  <c r="G12" i="18" s="1"/>
  <c r="O17" i="12"/>
  <c r="B30" i="12" s="1"/>
  <c r="C12" i="18" s="1"/>
  <c r="O18" i="12"/>
  <c r="C30" i="12" s="1"/>
  <c r="D12" i="18" s="1"/>
  <c r="O24" i="12"/>
  <c r="I30" i="12" s="1"/>
  <c r="J12" i="18" s="1"/>
  <c r="O19" i="12"/>
  <c r="D30" i="12" s="1"/>
  <c r="E12" i="18" s="1"/>
  <c r="O27" i="12"/>
  <c r="L30" i="12" s="1"/>
  <c r="M12" i="18" s="1"/>
  <c r="O20" i="12"/>
  <c r="E30" i="12" s="1"/>
  <c r="F12" i="18" s="1"/>
  <c r="O26" i="12"/>
  <c r="K30" i="12" s="1"/>
  <c r="L12" i="18" s="1"/>
  <c r="O23" i="12"/>
  <c r="H30" i="12" s="1"/>
  <c r="I12" i="18" s="1"/>
  <c r="O25" i="12"/>
  <c r="J30" i="12" s="1"/>
  <c r="K12" i="18" s="1"/>
  <c r="O22" i="12"/>
  <c r="G30" i="12" s="1"/>
  <c r="H12" i="18" s="1"/>
  <c r="R4" i="11"/>
  <c r="R5" i="11" s="1"/>
  <c r="R6" i="11" s="1"/>
  <c r="R7" i="11" s="1"/>
  <c r="R8" i="11" s="1"/>
  <c r="R9" i="11" s="1"/>
  <c r="R10" i="11" s="1"/>
  <c r="R11" i="11" s="1"/>
  <c r="I40" i="17" l="1"/>
  <c r="I13" i="18" s="1"/>
  <c r="M40" i="17"/>
  <c r="M13" i="18" s="1"/>
  <c r="F40" i="17"/>
  <c r="F13" i="18" s="1"/>
  <c r="H40" i="17"/>
  <c r="H13" i="18" s="1"/>
  <c r="C40" i="17"/>
  <c r="C13" i="18" s="1"/>
  <c r="H13" i="17"/>
  <c r="H43" i="17" s="1"/>
  <c r="E13" i="17"/>
  <c r="E43" i="17" s="1"/>
  <c r="E45" i="17" s="1"/>
  <c r="F13" i="17"/>
  <c r="F43" i="17" s="1"/>
  <c r="L13" i="17"/>
  <c r="J13" i="17"/>
  <c r="J43" i="17" s="1"/>
  <c r="J45" i="17" s="1"/>
  <c r="G13" i="17"/>
  <c r="G43" i="17" s="1"/>
  <c r="G45" i="17" s="1"/>
  <c r="M13" i="17"/>
  <c r="M43" i="17" s="1"/>
  <c r="M45" i="17" s="1"/>
  <c r="K13" i="17"/>
  <c r="I13" i="17"/>
  <c r="I43" i="17" s="1"/>
  <c r="D13" i="17"/>
  <c r="D43" i="17" s="1"/>
  <c r="D45" i="17" s="1"/>
  <c r="C13" i="17"/>
  <c r="C43" i="17" s="1"/>
  <c r="R12" i="11"/>
  <c r="S11" i="11"/>
  <c r="P23" i="11" s="1"/>
  <c r="S10" i="11"/>
  <c r="P22" i="11" s="1"/>
  <c r="S5" i="11"/>
  <c r="P17" i="11" s="1"/>
  <c r="S8" i="11"/>
  <c r="P20" i="11" s="1"/>
  <c r="S9" i="11"/>
  <c r="P21" i="11" s="1"/>
  <c r="S7" i="11"/>
  <c r="P19" i="11" s="1"/>
  <c r="S6" i="11"/>
  <c r="P18" i="11" s="1"/>
  <c r="S4" i="11"/>
  <c r="P16" i="11" s="1"/>
  <c r="S3" i="11"/>
  <c r="P15" i="11" s="1"/>
  <c r="I45" i="17" l="1"/>
  <c r="L43" i="17"/>
  <c r="L45" i="17" s="1"/>
  <c r="K43" i="17"/>
  <c r="K45" i="17" s="1"/>
  <c r="H45" i="17"/>
  <c r="F45" i="17"/>
  <c r="C45" i="17"/>
  <c r="R13" i="11"/>
  <c r="S12" i="11"/>
  <c r="P24" i="11" s="1"/>
  <c r="C49" i="17" l="1"/>
  <c r="C4" i="18" s="1"/>
  <c r="C7" i="18" s="1"/>
  <c r="S13" i="11"/>
  <c r="P25" i="11" s="1"/>
  <c r="Q15" i="11" s="1" a="1"/>
  <c r="Q15" i="11" l="1"/>
  <c r="Q24" i="11"/>
  <c r="Q20" i="11"/>
  <c r="Q16" i="11"/>
  <c r="Q23" i="11"/>
  <c r="Q19" i="11"/>
  <c r="Q22" i="11"/>
  <c r="Q18" i="11"/>
  <c r="Q25" i="11"/>
  <c r="Q21" i="11"/>
  <c r="Q17" i="11"/>
  <c r="R15" i="11" l="1"/>
  <c r="R16" i="11" s="1"/>
  <c r="R17" i="11" s="1"/>
  <c r="R18" i="11" s="1"/>
  <c r="R19" i="11" s="1"/>
  <c r="R20" i="11" s="1"/>
  <c r="R21" i="11" s="1"/>
  <c r="R22" i="11" s="1"/>
  <c r="R23" i="11" s="1"/>
  <c r="R24" i="11" s="1"/>
  <c r="R25" i="11" s="1"/>
  <c r="S25" i="11" s="1"/>
  <c r="P37" i="11" s="1"/>
  <c r="S15" i="11" l="1"/>
  <c r="P27" i="11" s="1"/>
  <c r="S23" i="11"/>
  <c r="P35" i="11" s="1"/>
  <c r="S21" i="11"/>
  <c r="P33" i="11" s="1"/>
  <c r="S22" i="11"/>
  <c r="P34" i="11" s="1"/>
  <c r="S24" i="11"/>
  <c r="P36" i="11" s="1"/>
  <c r="S16" i="11"/>
  <c r="P28" i="11" s="1"/>
  <c r="S18" i="11"/>
  <c r="P30" i="11" s="1"/>
  <c r="S17" i="11"/>
  <c r="P29" i="11" s="1"/>
  <c r="S19" i="11"/>
  <c r="P31" i="11" s="1"/>
  <c r="S20" i="11"/>
  <c r="P32" i="11" s="1"/>
  <c r="Q27" i="11" l="1" a="1"/>
  <c r="Q37" i="11" s="1"/>
  <c r="Q32" i="11" l="1"/>
  <c r="Q27" i="11"/>
  <c r="Q29" i="11"/>
  <c r="Q35" i="11"/>
  <c r="Q30" i="11"/>
  <c r="Q33" i="11"/>
  <c r="Q36" i="11"/>
  <c r="Q28" i="11"/>
  <c r="Q31" i="11"/>
  <c r="Q34" i="11"/>
  <c r="R27" i="11" l="1"/>
  <c r="R28" i="11" s="1"/>
  <c r="R29" i="11" s="1"/>
  <c r="R30" i="11" s="1"/>
  <c r="R31" i="11" s="1"/>
  <c r="R32" i="11" s="1"/>
  <c r="R33" i="11" s="1"/>
  <c r="R34" i="11" s="1"/>
  <c r="R35" i="11" s="1"/>
  <c r="R36" i="11" s="1"/>
  <c r="R37" i="11" s="1"/>
  <c r="S37" i="11" s="1"/>
  <c r="P49" i="11" s="1"/>
  <c r="S31" i="11" l="1"/>
  <c r="P43" i="11" s="1"/>
  <c r="S34" i="11"/>
  <c r="P46" i="11" s="1"/>
  <c r="S27" i="11"/>
  <c r="P39" i="11" s="1"/>
  <c r="S35" i="11"/>
  <c r="P47" i="11" s="1"/>
  <c r="S28" i="11"/>
  <c r="P40" i="11" s="1"/>
  <c r="S36" i="11"/>
  <c r="P48" i="11" s="1"/>
  <c r="S29" i="11"/>
  <c r="P41" i="11" s="1"/>
  <c r="S33" i="11"/>
  <c r="P45" i="11" s="1"/>
  <c r="S30" i="11"/>
  <c r="P42" i="11" s="1"/>
  <c r="S32" i="11"/>
  <c r="P44" i="11" s="1"/>
  <c r="Q39" i="11" s="1" a="1"/>
  <c r="Q42" i="11" s="1"/>
  <c r="Q46" i="11" l="1"/>
  <c r="Q41" i="11"/>
  <c r="Q43" i="11"/>
  <c r="Q49" i="11"/>
  <c r="Q44" i="11"/>
  <c r="Q47" i="11"/>
  <c r="Q39" i="11"/>
  <c r="Q40" i="11"/>
  <c r="Q45" i="11"/>
  <c r="Q48" i="11"/>
  <c r="R39" i="11" l="1"/>
  <c r="R40" i="11" s="1"/>
  <c r="R41" i="11" s="1"/>
  <c r="R42" i="11" s="1"/>
  <c r="R43" i="11" s="1"/>
  <c r="R44" i="11" s="1"/>
  <c r="R45" i="11" s="1"/>
  <c r="R46" i="11" s="1"/>
  <c r="R47" i="11" s="1"/>
  <c r="R48" i="11" s="1"/>
  <c r="R49" i="11" s="1"/>
  <c r="S49" i="11" s="1"/>
  <c r="P61" i="11" s="1"/>
  <c r="S43" i="11" l="1"/>
  <c r="P55" i="11" s="1"/>
  <c r="S44" i="11"/>
  <c r="P56" i="11" s="1"/>
  <c r="S48" i="11"/>
  <c r="P60" i="11" s="1"/>
  <c r="S42" i="11"/>
  <c r="P54" i="11" s="1"/>
  <c r="S39" i="11"/>
  <c r="P51" i="11" s="1"/>
  <c r="S41" i="11"/>
  <c r="P53" i="11" s="1"/>
  <c r="S45" i="11"/>
  <c r="P57" i="11" s="1"/>
  <c r="S40" i="11"/>
  <c r="P52" i="11" s="1"/>
  <c r="S47" i="11"/>
  <c r="P59" i="11" s="1"/>
  <c r="S46" i="11"/>
  <c r="P58" i="11" s="1"/>
  <c r="Q51" i="11" a="1"/>
  <c r="Q60" i="11" s="1"/>
  <c r="Q52" i="11" l="1"/>
  <c r="Q55" i="11"/>
  <c r="Q58" i="11"/>
  <c r="Q61" i="11"/>
  <c r="Q53" i="11"/>
  <c r="Q56" i="11"/>
  <c r="Q59" i="11"/>
  <c r="Q51" i="11"/>
  <c r="Q54" i="11"/>
  <c r="Q57" i="11"/>
  <c r="R51" i="11" l="1"/>
  <c r="R52" i="11" s="1"/>
  <c r="R53" i="11" s="1"/>
  <c r="R54" i="11" s="1"/>
  <c r="R55" i="11" s="1"/>
  <c r="R56" i="11" s="1"/>
  <c r="R57" i="11" s="1"/>
  <c r="R58" i="11" s="1"/>
  <c r="R59" i="11" s="1"/>
  <c r="R60" i="11" s="1"/>
  <c r="R61" i="11" s="1"/>
  <c r="S61" i="11" s="1"/>
  <c r="P73" i="11" s="1"/>
  <c r="S57" i="11" l="1"/>
  <c r="P69" i="11" s="1"/>
  <c r="S60" i="11"/>
  <c r="P72" i="11" s="1"/>
  <c r="S52" i="11"/>
  <c r="P64" i="11" s="1"/>
  <c r="S54" i="11"/>
  <c r="P66" i="11" s="1"/>
  <c r="S51" i="11"/>
  <c r="P63" i="11" s="1"/>
  <c r="S58" i="11"/>
  <c r="P70" i="11" s="1"/>
  <c r="S53" i="11"/>
  <c r="P65" i="11" s="1"/>
  <c r="S59" i="11"/>
  <c r="P71" i="11" s="1"/>
  <c r="S56" i="11"/>
  <c r="P68" i="11" s="1"/>
  <c r="S55" i="11"/>
  <c r="P67" i="11" s="1"/>
  <c r="Q63" i="11" a="1"/>
  <c r="Q72" i="11" s="1"/>
  <c r="Q67" i="11" l="1"/>
  <c r="Q73" i="11"/>
  <c r="Q64" i="11"/>
  <c r="Q70" i="11"/>
  <c r="Q65" i="11"/>
  <c r="Q68" i="11"/>
  <c r="Q71" i="11"/>
  <c r="Q63" i="11"/>
  <c r="Q66" i="11"/>
  <c r="Q69" i="11"/>
  <c r="R63" i="11" l="1"/>
  <c r="R64" i="11" s="1"/>
  <c r="R65" i="11" s="1"/>
  <c r="R66" i="11" s="1"/>
  <c r="R67" i="11" s="1"/>
  <c r="R68" i="11" s="1"/>
  <c r="R69" i="11" s="1"/>
  <c r="R70" i="11" s="1"/>
  <c r="R71" i="11" s="1"/>
  <c r="R72" i="11" s="1"/>
  <c r="R73" i="11" s="1"/>
  <c r="S73" i="11" s="1"/>
  <c r="P85" i="11" s="1"/>
  <c r="S69" i="11" l="1"/>
  <c r="P81" i="11" s="1"/>
  <c r="S63" i="11"/>
  <c r="P75" i="11" s="1"/>
  <c r="S72" i="11"/>
  <c r="P84" i="11" s="1"/>
  <c r="S70" i="11"/>
  <c r="P82" i="11" s="1"/>
  <c r="S65" i="11"/>
  <c r="P77" i="11" s="1"/>
  <c r="S71" i="11"/>
  <c r="P83" i="11" s="1"/>
  <c r="S64" i="11"/>
  <c r="P76" i="11" s="1"/>
  <c r="S68" i="11"/>
  <c r="P80" i="11" s="1"/>
  <c r="S66" i="11"/>
  <c r="P78" i="11" s="1"/>
  <c r="S67" i="11"/>
  <c r="P79" i="11" s="1"/>
  <c r="Q75" i="11" s="1" a="1"/>
  <c r="Q84" i="11" s="1"/>
  <c r="Q76" i="11" l="1"/>
  <c r="Q79" i="11"/>
  <c r="Q82" i="11"/>
  <c r="Q85" i="11"/>
  <c r="Q77" i="11"/>
  <c r="Q80" i="11"/>
  <c r="Q83" i="11"/>
  <c r="Q75" i="11"/>
  <c r="R75" i="11" s="1"/>
  <c r="R76" i="11" s="1"/>
  <c r="R77" i="11" s="1"/>
  <c r="R78" i="11" s="1"/>
  <c r="R79" i="11" s="1"/>
  <c r="R80" i="11" s="1"/>
  <c r="R81" i="11" s="1"/>
  <c r="R82" i="11" s="1"/>
  <c r="R83" i="11" s="1"/>
  <c r="R84" i="11" s="1"/>
  <c r="R85" i="11" s="1"/>
  <c r="S85" i="11" s="1"/>
  <c r="P97" i="11" s="1"/>
  <c r="Q78" i="11"/>
  <c r="Q81" i="11"/>
  <c r="S79" i="11" l="1"/>
  <c r="P91" i="11" s="1"/>
  <c r="S78" i="11"/>
  <c r="P90" i="11" s="1"/>
  <c r="S77" i="11"/>
  <c r="P89" i="11" s="1"/>
  <c r="S84" i="11"/>
  <c r="P96" i="11" s="1"/>
  <c r="S80" i="11"/>
  <c r="P92" i="11" s="1"/>
  <c r="S82" i="11"/>
  <c r="P94" i="11" s="1"/>
  <c r="S76" i="11"/>
  <c r="P88" i="11" s="1"/>
  <c r="S81" i="11"/>
  <c r="P93" i="11" s="1"/>
  <c r="S83" i="11"/>
  <c r="P95" i="11" s="1"/>
  <c r="S75" i="11"/>
  <c r="P87" i="11" s="1"/>
  <c r="Q87" i="11" l="1" a="1"/>
  <c r="Q96" i="11" s="1"/>
  <c r="Q91" i="11" l="1"/>
  <c r="Q97" i="11"/>
  <c r="Q88" i="11"/>
  <c r="Q94" i="11"/>
  <c r="Q89" i="11"/>
  <c r="Q92" i="11"/>
  <c r="Q95" i="11"/>
  <c r="Q87" i="11"/>
  <c r="Q90" i="11"/>
  <c r="Q93" i="11"/>
  <c r="R87" i="11" l="1"/>
  <c r="R88" i="11" s="1"/>
  <c r="R89" i="11" s="1"/>
  <c r="R90" i="11" s="1"/>
  <c r="R91" i="11" s="1"/>
  <c r="R92" i="11" s="1"/>
  <c r="R93" i="11" s="1"/>
  <c r="R94" i="11" s="1"/>
  <c r="R95" i="11" s="1"/>
  <c r="R96" i="11" s="1"/>
  <c r="R97" i="11" s="1"/>
  <c r="S97" i="11" s="1"/>
  <c r="P109" i="11" s="1"/>
  <c r="S87" i="11" l="1"/>
  <c r="P99" i="11" s="1"/>
  <c r="S93" i="11"/>
  <c r="P105" i="11" s="1"/>
  <c r="S94" i="11"/>
  <c r="P106" i="11" s="1"/>
  <c r="S96" i="11"/>
  <c r="P108" i="11" s="1"/>
  <c r="S90" i="11"/>
  <c r="P102" i="11" s="1"/>
  <c r="S95" i="11"/>
  <c r="P107" i="11" s="1"/>
  <c r="S88" i="11"/>
  <c r="P100" i="11" s="1"/>
  <c r="S92" i="11"/>
  <c r="P104" i="11" s="1"/>
  <c r="S89" i="11"/>
  <c r="P101" i="11" s="1"/>
  <c r="S91" i="11"/>
  <c r="P103" i="11" s="1"/>
  <c r="Q99" i="11" a="1"/>
  <c r="Q108" i="11" s="1"/>
  <c r="Q100" i="11" l="1"/>
  <c r="Q103" i="11"/>
  <c r="Q106" i="11"/>
  <c r="Q109" i="11"/>
  <c r="Q101" i="11"/>
  <c r="Q104" i="11"/>
  <c r="Q107" i="11"/>
  <c r="Q99" i="11"/>
  <c r="R99" i="11" s="1"/>
  <c r="R100" i="11" s="1"/>
  <c r="R101" i="11" s="1"/>
  <c r="R102" i="11" s="1"/>
  <c r="R103" i="11" s="1"/>
  <c r="R104" i="11" s="1"/>
  <c r="R105" i="11" s="1"/>
  <c r="R106" i="11" s="1"/>
  <c r="R107" i="11" s="1"/>
  <c r="R108" i="11" s="1"/>
  <c r="R109" i="11" s="1"/>
  <c r="S109" i="11" s="1"/>
  <c r="P121" i="11" s="1"/>
  <c r="Q102" i="11"/>
  <c r="Q105" i="11"/>
  <c r="S103" i="11" l="1"/>
  <c r="P115" i="11" s="1"/>
  <c r="S101" i="11"/>
  <c r="P113" i="11" s="1"/>
  <c r="S102" i="11"/>
  <c r="P114" i="11" s="1"/>
  <c r="S108" i="11"/>
  <c r="P120" i="11" s="1"/>
  <c r="S104" i="11"/>
  <c r="P116" i="11" s="1"/>
  <c r="S106" i="11"/>
  <c r="P118" i="11" s="1"/>
  <c r="S100" i="11"/>
  <c r="P112" i="11" s="1"/>
  <c r="S105" i="11"/>
  <c r="P117" i="11" s="1"/>
  <c r="S107" i="11"/>
  <c r="P119" i="11" s="1"/>
  <c r="S99" i="11"/>
  <c r="P111" i="11" s="1"/>
  <c r="Q111" i="11" l="1" a="1"/>
  <c r="Q120" i="11" s="1"/>
  <c r="Q115" i="11" l="1"/>
  <c r="Q121" i="11"/>
  <c r="Q112" i="11"/>
  <c r="Q118" i="11"/>
  <c r="Q113" i="11"/>
  <c r="Q116" i="11"/>
  <c r="Q119" i="11"/>
  <c r="Q111" i="11"/>
  <c r="Q114" i="11"/>
  <c r="Q117" i="11"/>
  <c r="R111" i="11" l="1"/>
  <c r="R112" i="11" s="1"/>
  <c r="R113" i="11" s="1"/>
  <c r="R114" i="11" s="1"/>
  <c r="S114" i="11" s="1"/>
  <c r="S111" i="11" l="1"/>
  <c r="C15" i="11"/>
  <c r="C17" i="11" s="1"/>
  <c r="C18" i="11" s="1"/>
  <c r="B15" i="18" s="1"/>
  <c r="S113" i="11"/>
  <c r="S112" i="11"/>
  <c r="R115" i="11"/>
  <c r="R116" i="11" s="1"/>
  <c r="S115" i="11" l="1"/>
  <c r="R117" i="11"/>
  <c r="S116" i="11"/>
  <c r="R118" i="11" l="1"/>
  <c r="S117" i="11"/>
  <c r="R119" i="11" l="1"/>
  <c r="S118" i="11"/>
  <c r="R120" i="11" l="1"/>
  <c r="S119" i="11"/>
  <c r="R121" i="11" l="1"/>
  <c r="S121" i="11" s="1"/>
  <c r="S120" i="11"/>
</calcChain>
</file>

<file path=xl/sharedStrings.xml><?xml version="1.0" encoding="utf-8"?>
<sst xmlns="http://schemas.openxmlformats.org/spreadsheetml/2006/main" count="1193" uniqueCount="303">
  <si>
    <t>VAS Axial (Menor Melhor)</t>
  </si>
  <si>
    <t>VAS Radicular (Menor Melhor)</t>
  </si>
  <si>
    <t>SF36</t>
  </si>
  <si>
    <t>SF36 (Maior Melhor)</t>
  </si>
  <si>
    <t>SF36 CM (Maior Melhor)</t>
  </si>
  <si>
    <t>SF36 CF (Maior Melhor)</t>
  </si>
  <si>
    <t>ODI (Menor Melhor)</t>
  </si>
  <si>
    <t>FABQ T (Menor Melhor)</t>
  </si>
  <si>
    <t>FABQ F (Menor Melhor)</t>
  </si>
  <si>
    <t>BDI</t>
  </si>
  <si>
    <t>BDI (Menor Melhor)</t>
  </si>
  <si>
    <t>SF36 CF</t>
  </si>
  <si>
    <t>SF36 CM</t>
  </si>
  <si>
    <t>ODI</t>
  </si>
  <si>
    <t>HAD D</t>
  </si>
  <si>
    <t>HAD A</t>
  </si>
  <si>
    <t>HAD D (Menor Melhor)</t>
  </si>
  <si>
    <t>HAD A (Menor Melhor)</t>
  </si>
  <si>
    <t>FABQ T</t>
  </si>
  <si>
    <t>FABQ F</t>
  </si>
  <si>
    <t>VAS Rad</t>
  </si>
  <si>
    <t>VAS Axi</t>
  </si>
  <si>
    <t>BDI - Questionário de Depressão</t>
  </si>
  <si>
    <t>Min</t>
  </si>
  <si>
    <t>Max</t>
  </si>
  <si>
    <t>Faixa</t>
  </si>
  <si>
    <t>Legenda</t>
  </si>
  <si>
    <t>Ausência</t>
  </si>
  <si>
    <t>Depressão Branda</t>
  </si>
  <si>
    <t>Depressão Moderada</t>
  </si>
  <si>
    <t>Depressão Severa</t>
  </si>
  <si>
    <t>HAD - Ansiedade</t>
  </si>
  <si>
    <t>Improvável</t>
  </si>
  <si>
    <t>Possível</t>
  </si>
  <si>
    <t>Provável</t>
  </si>
  <si>
    <t>HAD - Depressão</t>
  </si>
  <si>
    <t>Fabq f</t>
  </si>
  <si>
    <t>fabq t</t>
  </si>
  <si>
    <t>ODI - Capacidade Funcional</t>
  </si>
  <si>
    <t>Minima</t>
  </si>
  <si>
    <t>Moderada</t>
  </si>
  <si>
    <t>Severa</t>
  </si>
  <si>
    <t>Inválido</t>
  </si>
  <si>
    <t>Restrito ao Leito</t>
  </si>
  <si>
    <t>Estado inicial</t>
  </si>
  <si>
    <t>Divisão em faixas</t>
  </si>
  <si>
    <t>0-63</t>
  </si>
  <si>
    <t>0-21</t>
  </si>
  <si>
    <t>range</t>
  </si>
  <si>
    <t>0-100</t>
  </si>
  <si>
    <t>0-10</t>
  </si>
  <si>
    <t>//</t>
  </si>
  <si>
    <t>baixo</t>
  </si>
  <si>
    <t>medio baixo</t>
  </si>
  <si>
    <t>medio alto</t>
  </si>
  <si>
    <t>alto</t>
  </si>
  <si>
    <t>sf36</t>
  </si>
  <si>
    <t>PROBABILIDADES 30 DIAS</t>
  </si>
  <si>
    <t>Vetor Estado Atual</t>
  </si>
  <si>
    <t>30 dias</t>
  </si>
  <si>
    <t>6m</t>
  </si>
  <si>
    <t>6M</t>
  </si>
  <si>
    <t>Avaliação 30 dias após</t>
  </si>
  <si>
    <t>Avaliação 6 meses após</t>
  </si>
  <si>
    <t>Prob.</t>
  </si>
  <si>
    <t>Faixas</t>
  </si>
  <si>
    <t>0-25</t>
  </si>
  <si>
    <t>26-50</t>
  </si>
  <si>
    <t>50-75</t>
  </si>
  <si>
    <t>76-100</t>
  </si>
  <si>
    <t>0-20</t>
  </si>
  <si>
    <t>21-40</t>
  </si>
  <si>
    <t>41-60</t>
  </si>
  <si>
    <t>61-80</t>
  </si>
  <si>
    <t>81-100</t>
  </si>
  <si>
    <t>0-7</t>
  </si>
  <si>
    <t>8a11</t>
  </si>
  <si>
    <t>12a21</t>
  </si>
  <si>
    <t>0-13</t>
  </si>
  <si>
    <t>14-19</t>
  </si>
  <si>
    <t>20-28</t>
  </si>
  <si>
    <t>29-63</t>
  </si>
  <si>
    <t>Vetor aux para calculo de probabilidade</t>
  </si>
  <si>
    <t>Melhorar</t>
  </si>
  <si>
    <t>Manter</t>
  </si>
  <si>
    <t>Piorar</t>
  </si>
  <si>
    <t>menor melhor</t>
  </si>
  <si>
    <t>maior melhor</t>
  </si>
  <si>
    <t>Prob. 6M</t>
  </si>
  <si>
    <t>Prob. 30 d</t>
  </si>
  <si>
    <t>somateste</t>
  </si>
  <si>
    <t>Prob. Melhorar 30 d:</t>
  </si>
  <si>
    <t>Prob. Manter 30 d:</t>
  </si>
  <si>
    <t>Prob. Piorar 30 d:</t>
  </si>
  <si>
    <t>Prob. Piorar 6 m:</t>
  </si>
  <si>
    <t>Prob. Manter 6 m:</t>
  </si>
  <si>
    <t>Prob. Melhorar 6 m:</t>
  </si>
  <si>
    <t>Igual importância</t>
  </si>
  <si>
    <t>Menor importância de um sobre o outro</t>
  </si>
  <si>
    <t>Essencial ou forte importância</t>
  </si>
  <si>
    <t xml:space="preserve">Importância significativa  </t>
  </si>
  <si>
    <t>Importância absoluta</t>
  </si>
  <si>
    <t>Intensidade</t>
  </si>
  <si>
    <t>Definição</t>
  </si>
  <si>
    <t>VAS</t>
  </si>
  <si>
    <t>SF M</t>
  </si>
  <si>
    <t>SF F</t>
  </si>
  <si>
    <t>Regra</t>
  </si>
  <si>
    <t>Iguais</t>
  </si>
  <si>
    <t>2 pt dif</t>
  </si>
  <si>
    <t>3 pt dif</t>
  </si>
  <si>
    <t>4 pt dif</t>
  </si>
  <si>
    <t>Grandeza</t>
  </si>
  <si>
    <t>Importância</t>
  </si>
  <si>
    <t>Qualidade de Vida</t>
  </si>
  <si>
    <t>Qualidade de Vida Aspectos Mentais</t>
  </si>
  <si>
    <t>Qualidade de Vida Aspectos Físicos</t>
  </si>
  <si>
    <t>Capacidade Funcional</t>
  </si>
  <si>
    <t>indice de Depressão</t>
  </si>
  <si>
    <t>Indice de Ansiedade</t>
  </si>
  <si>
    <t>Depressão e Disturbios de Humor</t>
  </si>
  <si>
    <t>Nenhuma Importância</t>
  </si>
  <si>
    <t>Importância Baixa</t>
  </si>
  <si>
    <t>Importância Média</t>
  </si>
  <si>
    <t>Importância Alta</t>
  </si>
  <si>
    <t>Importância Absoluta</t>
  </si>
  <si>
    <t>1 pt dif</t>
  </si>
  <si>
    <t>Lógica (j - i)</t>
  </si>
  <si>
    <t xml:space="preserve"> Estado Inicial:</t>
  </si>
  <si>
    <t>Dados de Entrada</t>
  </si>
  <si>
    <t>http://cleberalmeida.webs.com/T51AVANCES_TEORICOS_BELDERRAIN.pdf</t>
  </si>
  <si>
    <t>https://www.maxwell.vrac.puc-rio.br/10385/10385_4.PDF</t>
  </si>
  <si>
    <t>https://www.inf.ufes.br/~luciac/mn1/autovalores-autovetores.pdf</t>
  </si>
  <si>
    <t>Vetor u</t>
  </si>
  <si>
    <t>Maior</t>
  </si>
  <si>
    <t>Mult.</t>
  </si>
  <si>
    <t>Div.</t>
  </si>
  <si>
    <t xml:space="preserve">iteração </t>
  </si>
  <si>
    <t>λmax</t>
  </si>
  <si>
    <t>n</t>
  </si>
  <si>
    <t>IC</t>
  </si>
  <si>
    <t>n/ir</t>
  </si>
  <si>
    <t>RC</t>
  </si>
  <si>
    <t>1)soma</t>
  </si>
  <si>
    <t>2)divisão</t>
  </si>
  <si>
    <t>3) média</t>
  </si>
  <si>
    <t>Vasr</t>
  </si>
  <si>
    <t>Vasa</t>
  </si>
  <si>
    <t>Dor Axial</t>
  </si>
  <si>
    <t>Dor Radicular</t>
  </si>
  <si>
    <t>Prolo</t>
  </si>
  <si>
    <t>Sats</t>
  </si>
  <si>
    <t>Retorno as atividades</t>
  </si>
  <si>
    <t>Satisfação com a cirurgia</t>
  </si>
  <si>
    <t>PROLO</t>
  </si>
  <si>
    <t>SATS</t>
  </si>
  <si>
    <t>Variável</t>
  </si>
  <si>
    <t>Resumo</t>
  </si>
  <si>
    <t>VAS Axial 1a</t>
  </si>
  <si>
    <t>VAS Axial 2a</t>
  </si>
  <si>
    <t>VAS Axial 3a</t>
  </si>
  <si>
    <t>VAS Radicular 1a</t>
  </si>
  <si>
    <t>VAS Radicular 3a</t>
  </si>
  <si>
    <t>VAS Radicular 2a</t>
  </si>
  <si>
    <t>Prolo 30</t>
  </si>
  <si>
    <t>Prolo 60</t>
  </si>
  <si>
    <t>Satis 30</t>
  </si>
  <si>
    <t>Satis 60</t>
  </si>
  <si>
    <t>Avaliação 1a</t>
  </si>
  <si>
    <t>Avaliação 3a</t>
  </si>
  <si>
    <t>Avaliação 2a</t>
  </si>
  <si>
    <t>Prob. Melhorar 1a</t>
  </si>
  <si>
    <t>Prob. Manter 2a</t>
  </si>
  <si>
    <t>Prob. Piorar 1a:</t>
  </si>
  <si>
    <t>Prob. Manter 1a</t>
  </si>
  <si>
    <t>Prob. Melhorar 2a</t>
  </si>
  <si>
    <t>Prob. Piorar 2a:</t>
  </si>
  <si>
    <t>Prob. Melhorar 3a</t>
  </si>
  <si>
    <t>Prob. Manter 3a</t>
  </si>
  <si>
    <t>Prob. Piorar 3a:</t>
  </si>
  <si>
    <t>PROBABILIDADES 1a</t>
  </si>
  <si>
    <t>PROBABILIDADES 2a</t>
  </si>
  <si>
    <t>PROBABILIDADES 3a</t>
  </si>
  <si>
    <t>Prob. 1a</t>
  </si>
  <si>
    <t>Prob. 2a</t>
  </si>
  <si>
    <t>Prob.3a</t>
  </si>
  <si>
    <t>Satisfação</t>
  </si>
  <si>
    <t>Não faria novamente (30d)</t>
  </si>
  <si>
    <t>Talvez (30d)</t>
  </si>
  <si>
    <t>Faria novamente (30d)</t>
  </si>
  <si>
    <t>Não faria novamente (6m)</t>
  </si>
  <si>
    <t>Talvez (6m)</t>
  </si>
  <si>
    <t>Faria novamente (6m)</t>
  </si>
  <si>
    <t>Estado Inicial:</t>
  </si>
  <si>
    <t>Invalido (30d)</t>
  </si>
  <si>
    <t>Ocupado limitação (30d)</t>
  </si>
  <si>
    <t>Ocupado sem limitação (30d)</t>
  </si>
  <si>
    <t>Invalido (6m)</t>
  </si>
  <si>
    <t>Ocupado limitação (6m)</t>
  </si>
  <si>
    <t>Ocupado sem limitação (6m)</t>
  </si>
  <si>
    <t>AHP Vetor</t>
  </si>
  <si>
    <t>Markov prob.</t>
  </si>
  <si>
    <t>VASa</t>
  </si>
  <si>
    <t>VASr</t>
  </si>
  <si>
    <t>Prob. Apenas de Estatística</t>
  </si>
  <si>
    <t>Ruim 30d</t>
  </si>
  <si>
    <t>Médio 30d</t>
  </si>
  <si>
    <t>Bom 30d</t>
  </si>
  <si>
    <t>Ruim 6m</t>
  </si>
  <si>
    <t>Médio 6m</t>
  </si>
  <si>
    <t>Bom 6m</t>
  </si>
  <si>
    <t>30d</t>
  </si>
  <si>
    <t>3a</t>
  </si>
  <si>
    <t>2a</t>
  </si>
  <si>
    <t>1a</t>
  </si>
  <si>
    <t>Composição do Score por tempo</t>
  </si>
  <si>
    <t>Score Final</t>
  </si>
  <si>
    <t>Score Prob</t>
  </si>
  <si>
    <t>Prioridade AHP</t>
  </si>
  <si>
    <t>Score / Variável</t>
  </si>
  <si>
    <t>Dados de Saída</t>
  </si>
  <si>
    <t>Índicação para Realizar a Cirurgia:</t>
  </si>
  <si>
    <t>Pontuação das Probabilidades</t>
  </si>
  <si>
    <t>Resultado Máximo Possível:</t>
  </si>
  <si>
    <t>Resultado Mínimo Possível:</t>
  </si>
  <si>
    <t>=</t>
  </si>
  <si>
    <t>dif 1</t>
  </si>
  <si>
    <t>dif 2</t>
  </si>
  <si>
    <t>dif 3</t>
  </si>
  <si>
    <t>dif 4</t>
  </si>
  <si>
    <t>dif 5</t>
  </si>
  <si>
    <t>dif 6</t>
  </si>
  <si>
    <t>dif 7</t>
  </si>
  <si>
    <t>dif 8</t>
  </si>
  <si>
    <t>5 pt dif</t>
  </si>
  <si>
    <t>6 pt dif</t>
  </si>
  <si>
    <t>7 pt dif</t>
  </si>
  <si>
    <t>8 pt dif</t>
  </si>
  <si>
    <t>intervalo</t>
  </si>
  <si>
    <t>Escala</t>
  </si>
  <si>
    <t>Original</t>
  </si>
  <si>
    <t>Escala Original (-100 a 100)</t>
  </si>
  <si>
    <t>Escala de %</t>
  </si>
  <si>
    <t>%</t>
  </si>
  <si>
    <t>Prioridade AHP*</t>
  </si>
  <si>
    <t>*Rc =</t>
  </si>
  <si>
    <t>Índice</t>
  </si>
  <si>
    <t>Principais</t>
  </si>
  <si>
    <t>Cadeias de Markov</t>
  </si>
  <si>
    <t>Processo Analítico Hierarquico</t>
  </si>
  <si>
    <t>Aplicação de Cadeias de Markov e Processo Analítico Hierárquico para melhor seleção de pacientes no tratamento cirurgico de hérnia de disco lombar.</t>
  </si>
  <si>
    <t>Auxiliares de Cálculo</t>
  </si>
  <si>
    <t>Importância     (1 - 9)</t>
  </si>
  <si>
    <t>Pergunta: O quanto é relevante para você uma:</t>
  </si>
  <si>
    <t>Melhora na Dor?</t>
  </si>
  <si>
    <t>Melhora na Qualidade de Vida?</t>
  </si>
  <si>
    <t>Melhora na Capacidade com tarefas básicas?</t>
  </si>
  <si>
    <t>Melhora em um índice de depressão?</t>
  </si>
  <si>
    <t>Satisfação com a cirurgia?</t>
  </si>
  <si>
    <t>Atualizar dados</t>
  </si>
  <si>
    <t>Última Atualização: 14/08/2017</t>
  </si>
  <si>
    <t>Fabq Funcional</t>
  </si>
  <si>
    <t>Fabq Trabalho</t>
  </si>
  <si>
    <t>HAD</t>
  </si>
  <si>
    <t>SF-36</t>
  </si>
  <si>
    <t>Vetor</t>
  </si>
  <si>
    <t>Resultante</t>
  </si>
  <si>
    <t xml:space="preserve">Matriz de </t>
  </si>
  <si>
    <t>Comparação</t>
  </si>
  <si>
    <t>Maior Valor dentro do vetor</t>
  </si>
  <si>
    <t>Cada componente p/ maior valor</t>
  </si>
  <si>
    <t>Vetor Auxilliar</t>
  </si>
  <si>
    <t>Únitario [1; 1; ...; 1]</t>
  </si>
  <si>
    <t xml:space="preserve"> [Novo Vetor Auxiliar]</t>
  </si>
  <si>
    <t>Melhora em um índice de ansiedade?</t>
  </si>
  <si>
    <t>3 Anos</t>
  </si>
  <si>
    <t>2 Anos</t>
  </si>
  <si>
    <t>1 Ano</t>
  </si>
  <si>
    <t>6 Meses</t>
  </si>
  <si>
    <t>30 Dias</t>
  </si>
  <si>
    <t>Pesos das Faixas Temporais</t>
  </si>
  <si>
    <t>Se não disponível</t>
  </si>
  <si>
    <t>Intervalo</t>
  </si>
  <si>
    <t xml:space="preserve">Menor importância </t>
  </si>
  <si>
    <t>Variável 1</t>
  </si>
  <si>
    <t>Variável 2</t>
  </si>
  <si>
    <t>Variável 3</t>
  </si>
  <si>
    <t>/ /</t>
  </si>
  <si>
    <r>
      <rPr>
        <sz val="12"/>
        <rFont val="Times New Roman"/>
        <family val="1"/>
      </rPr>
      <t>Intensidade</t>
    </r>
    <r>
      <rPr>
        <vertAlign val="subscript"/>
        <sz val="12"/>
        <rFont val="Times New Roman"/>
        <family val="1"/>
      </rPr>
      <t xml:space="preserve"> (1,1)</t>
    </r>
  </si>
  <si>
    <r>
      <t xml:space="preserve">Intensidade </t>
    </r>
    <r>
      <rPr>
        <vertAlign val="subscript"/>
        <sz val="12"/>
        <rFont val="Times New Roman"/>
        <family val="1"/>
      </rPr>
      <t>(1,2)</t>
    </r>
  </si>
  <si>
    <r>
      <t xml:space="preserve">Intensidade </t>
    </r>
    <r>
      <rPr>
        <vertAlign val="subscript"/>
        <sz val="12"/>
        <rFont val="Times New Roman"/>
        <family val="1"/>
      </rPr>
      <t>(1,3)</t>
    </r>
  </si>
  <si>
    <r>
      <t xml:space="preserve">Intensidade </t>
    </r>
    <r>
      <rPr>
        <vertAlign val="subscript"/>
        <sz val="12"/>
        <rFont val="Times New Roman"/>
        <family val="1"/>
      </rPr>
      <t>(2,1)</t>
    </r>
  </si>
  <si>
    <r>
      <t xml:space="preserve">Intensidade </t>
    </r>
    <r>
      <rPr>
        <vertAlign val="subscript"/>
        <sz val="12"/>
        <rFont val="Times New Roman"/>
        <family val="1"/>
      </rPr>
      <t>(2,2)</t>
    </r>
  </si>
  <si>
    <r>
      <t xml:space="preserve">Intensidade </t>
    </r>
    <r>
      <rPr>
        <vertAlign val="subscript"/>
        <sz val="12"/>
        <rFont val="Times New Roman"/>
        <family val="1"/>
      </rPr>
      <t>(2,3)</t>
    </r>
  </si>
  <si>
    <r>
      <t xml:space="preserve">Intensidade </t>
    </r>
    <r>
      <rPr>
        <vertAlign val="subscript"/>
        <sz val="12"/>
        <rFont val="Times New Roman"/>
        <family val="1"/>
      </rPr>
      <t>(3,1)</t>
    </r>
  </si>
  <si>
    <r>
      <t xml:space="preserve">Intensidade </t>
    </r>
    <r>
      <rPr>
        <vertAlign val="subscript"/>
        <sz val="12"/>
        <rFont val="Times New Roman"/>
        <family val="1"/>
      </rPr>
      <t>(3,2)</t>
    </r>
  </si>
  <si>
    <r>
      <t xml:space="preserve">Intensidade </t>
    </r>
    <r>
      <rPr>
        <vertAlign val="subscript"/>
        <sz val="12"/>
        <rFont val="Times New Roman"/>
        <family val="1"/>
      </rPr>
      <t>(3,3)</t>
    </r>
  </si>
  <si>
    <r>
      <rPr>
        <b/>
        <sz val="12"/>
        <color theme="1"/>
        <rFont val="Times New Roman"/>
        <family val="1"/>
      </rPr>
      <t>Lógica</t>
    </r>
    <r>
      <rPr>
        <b/>
        <i/>
        <sz val="12"/>
        <color theme="1"/>
        <rFont val="Times New Roman"/>
        <family val="1"/>
      </rPr>
      <t xml:space="preserve"> (j - i) =</t>
    </r>
  </si>
  <si>
    <t>Valores Originais</t>
  </si>
  <si>
    <t>Pré</t>
  </si>
  <si>
    <t>...</t>
  </si>
  <si>
    <t>Divisão em Faixas</t>
  </si>
  <si>
    <t>n-ésima iteração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</si>
</sst>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00"/>
  </numFmts>
  <fonts count="31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11"/>
      <color rgb="FFFF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</font>
    <font>
      <b/>
      <sz val="10"/>
      <color theme="1"/>
      <name val="Times New Roman"/>
      <family val="1"/>
    </font>
    <font>
      <b/>
      <sz val="10"/>
      <name val="Times New Roman"/>
      <family val="1"/>
    </font>
    <font>
      <i/>
      <sz val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theme="1"/>
      <name val="Times New Roman"/>
      <family val="1"/>
    </font>
    <font>
      <b/>
      <i/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12"/>
      <color rgb="FFFF0000"/>
      <name val="Times New Roman"/>
      <family val="1"/>
    </font>
    <font>
      <vertAlign val="subscript"/>
      <sz val="12"/>
      <name val="Times New Roman"/>
      <family val="1"/>
    </font>
    <font>
      <sz val="12"/>
      <name val="Times New Roman"/>
      <family val="1"/>
    </font>
    <font>
      <b/>
      <i/>
      <sz val="12"/>
      <color theme="1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4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</cellStyleXfs>
  <cellXfs count="254">
    <xf numFmtId="0" fontId="0" fillId="0" borderId="0" xfId="0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right" vertical="top"/>
    </xf>
    <xf numFmtId="0" fontId="5" fillId="0" borderId="0" xfId="0" applyFont="1"/>
    <xf numFmtId="0" fontId="4" fillId="0" borderId="3" xfId="0" applyFont="1" applyBorder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3" xfId="0" applyFont="1" applyBorder="1"/>
    <xf numFmtId="0" fontId="5" fillId="2" borderId="3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2" borderId="3" xfId="0" applyFont="1" applyFill="1" applyBorder="1"/>
    <xf numFmtId="10" fontId="0" fillId="0" borderId="0" xfId="1" applyNumberFormat="1" applyFont="1"/>
    <xf numFmtId="10" fontId="0" fillId="0" borderId="3" xfId="1" applyNumberFormat="1" applyFont="1" applyBorder="1"/>
    <xf numFmtId="0" fontId="6" fillId="0" borderId="0" xfId="0" applyFont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10" fontId="6" fillId="0" borderId="3" xfId="1" applyNumberFormat="1" applyFont="1" applyFill="1" applyBorder="1" applyAlignment="1">
      <alignment horizontal="center" vertical="center"/>
    </xf>
    <xf numFmtId="0" fontId="5" fillId="0" borderId="5" xfId="0" applyFont="1" applyFill="1" applyBorder="1" applyAlignment="1"/>
    <xf numFmtId="0" fontId="5" fillId="0" borderId="6" xfId="0" applyFont="1" applyFill="1" applyBorder="1" applyAlignment="1"/>
    <xf numFmtId="0" fontId="5" fillId="0" borderId="0" xfId="0" applyFont="1" applyFill="1" applyBorder="1" applyAlignment="1">
      <alignment horizontal="center"/>
    </xf>
    <xf numFmtId="0" fontId="5" fillId="0" borderId="0" xfId="0" applyFont="1" applyFill="1"/>
    <xf numFmtId="0" fontId="5" fillId="8" borderId="4" xfId="0" applyFont="1" applyFill="1" applyBorder="1" applyAlignment="1"/>
    <xf numFmtId="0" fontId="5" fillId="8" borderId="5" xfId="0" applyFont="1" applyFill="1" applyBorder="1" applyAlignment="1"/>
    <xf numFmtId="0" fontId="5" fillId="8" borderId="4" xfId="0" applyFont="1" applyFill="1" applyBorder="1" applyAlignment="1">
      <alignment horizontal="center"/>
    </xf>
    <xf numFmtId="0" fontId="5" fillId="8" borderId="0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 vertical="center"/>
    </xf>
    <xf numFmtId="0" fontId="5" fillId="8" borderId="0" xfId="0" applyFont="1" applyFill="1"/>
    <xf numFmtId="10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8" fillId="0" borderId="0" xfId="0" applyFont="1"/>
    <xf numFmtId="0" fontId="0" fillId="0" borderId="3" xfId="0" applyFill="1" applyBorder="1" applyAlignment="1">
      <alignment horizontal="center" vertical="center"/>
    </xf>
    <xf numFmtId="0" fontId="8" fillId="0" borderId="3" xfId="0" applyFont="1" applyBorder="1"/>
    <xf numFmtId="16" fontId="0" fillId="0" borderId="3" xfId="0" applyNumberFormat="1" applyBorder="1" applyAlignment="1">
      <alignment horizontal="center" vertical="center"/>
    </xf>
    <xf numFmtId="0" fontId="9" fillId="0" borderId="3" xfId="0" applyFont="1" applyBorder="1" applyAlignment="1">
      <alignment horizontal="center"/>
    </xf>
    <xf numFmtId="0" fontId="10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9" fontId="0" fillId="0" borderId="0" xfId="0" applyNumberFormat="1"/>
    <xf numFmtId="0" fontId="0" fillId="0" borderId="0" xfId="0" applyNumberFormat="1"/>
    <xf numFmtId="0" fontId="12" fillId="0" borderId="0" xfId="2" applyAlignment="1" applyProtection="1"/>
    <xf numFmtId="0" fontId="11" fillId="0" borderId="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8" fillId="0" borderId="7" xfId="0" applyFont="1" applyFill="1" applyBorder="1"/>
    <xf numFmtId="0" fontId="0" fillId="0" borderId="0" xfId="0" applyBorder="1"/>
    <xf numFmtId="0" fontId="0" fillId="0" borderId="2" xfId="0" applyBorder="1"/>
    <xf numFmtId="0" fontId="0" fillId="0" borderId="9" xfId="0" applyBorder="1"/>
    <xf numFmtId="0" fontId="0" fillId="0" borderId="10" xfId="0" applyBorder="1"/>
    <xf numFmtId="0" fontId="8" fillId="0" borderId="0" xfId="0" applyFont="1" applyFill="1" applyBorder="1"/>
    <xf numFmtId="0" fontId="8" fillId="0" borderId="11" xfId="0" applyFont="1" applyFill="1" applyBorder="1"/>
    <xf numFmtId="0" fontId="8" fillId="0" borderId="12" xfId="0" applyFont="1" applyFill="1" applyBorder="1"/>
    <xf numFmtId="0" fontId="0" fillId="0" borderId="1" xfId="0" applyBorder="1"/>
    <xf numFmtId="0" fontId="0" fillId="0" borderId="8" xfId="0" applyBorder="1"/>
    <xf numFmtId="0" fontId="11" fillId="0" borderId="9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2" fontId="0" fillId="0" borderId="0" xfId="0" applyNumberFormat="1"/>
    <xf numFmtId="9" fontId="11" fillId="0" borderId="3" xfId="1" applyFont="1" applyFill="1" applyBorder="1" applyAlignment="1">
      <alignment horizontal="center" vertical="center"/>
    </xf>
    <xf numFmtId="165" fontId="11" fillId="0" borderId="3" xfId="0" applyNumberFormat="1" applyFont="1" applyBorder="1" applyAlignment="1">
      <alignment horizontal="center" vertical="center"/>
    </xf>
    <xf numFmtId="0" fontId="8" fillId="0" borderId="3" xfId="0" applyFont="1" applyFill="1" applyBorder="1"/>
    <xf numFmtId="0" fontId="13" fillId="2" borderId="3" xfId="0" applyFont="1" applyFill="1" applyBorder="1" applyAlignment="1">
      <alignment horizontal="center" vertical="center"/>
    </xf>
    <xf numFmtId="9" fontId="14" fillId="2" borderId="3" xfId="1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/>
    </xf>
    <xf numFmtId="0" fontId="8" fillId="0" borderId="0" xfId="0" applyFont="1" applyBorder="1"/>
    <xf numFmtId="0" fontId="7" fillId="0" borderId="3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 wrapText="1"/>
    </xf>
    <xf numFmtId="0" fontId="0" fillId="0" borderId="28" xfId="0" applyBorder="1"/>
    <xf numFmtId="0" fontId="0" fillId="0" borderId="30" xfId="0" applyBorder="1"/>
    <xf numFmtId="0" fontId="0" fillId="0" borderId="31" xfId="0" applyBorder="1"/>
    <xf numFmtId="0" fontId="4" fillId="0" borderId="0" xfId="0" applyFont="1" applyBorder="1"/>
    <xf numFmtId="10" fontId="0" fillId="0" borderId="0" xfId="1" applyNumberFormat="1" applyFont="1" applyBorder="1"/>
    <xf numFmtId="0" fontId="3" fillId="9" borderId="16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18" fillId="9" borderId="17" xfId="0" applyFont="1" applyFill="1" applyBorder="1" applyAlignment="1">
      <alignment horizontal="center"/>
    </xf>
    <xf numFmtId="0" fontId="0" fillId="0" borderId="3" xfId="0" applyBorder="1"/>
    <xf numFmtId="9" fontId="0" fillId="0" borderId="3" xfId="1" applyFont="1" applyBorder="1" applyAlignment="1">
      <alignment horizontal="center" vertical="center"/>
    </xf>
    <xf numFmtId="10" fontId="0" fillId="0" borderId="3" xfId="0" applyNumberFormat="1" applyBorder="1"/>
    <xf numFmtId="10" fontId="0" fillId="0" borderId="32" xfId="0" applyNumberFormat="1" applyBorder="1"/>
    <xf numFmtId="0" fontId="4" fillId="0" borderId="0" xfId="0" applyFont="1" applyFill="1" applyBorder="1"/>
    <xf numFmtId="0" fontId="4" fillId="0" borderId="3" xfId="0" applyFont="1" applyFill="1" applyBorder="1"/>
    <xf numFmtId="0" fontId="3" fillId="0" borderId="3" xfId="0" applyFont="1" applyFill="1" applyBorder="1" applyAlignment="1">
      <alignment horizontal="center" vertical="center"/>
    </xf>
    <xf numFmtId="9" fontId="0" fillId="0" borderId="3" xfId="0" applyNumberForma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1" applyNumberFormat="1" applyFont="1"/>
    <xf numFmtId="0" fontId="0" fillId="0" borderId="3" xfId="0" applyBorder="1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0" fontId="3" fillId="0" borderId="3" xfId="0" applyFont="1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0" fontId="0" fillId="0" borderId="6" xfId="0" applyNumberFormat="1" applyBorder="1"/>
    <xf numFmtId="10" fontId="3" fillId="0" borderId="3" xfId="1" applyNumberFormat="1" applyFont="1" applyFill="1" applyBorder="1" applyAlignment="1">
      <alignment horizontal="center" vertical="center"/>
    </xf>
    <xf numFmtId="10" fontId="3" fillId="0" borderId="3" xfId="0" applyNumberFormat="1" applyFont="1" applyFill="1" applyBorder="1" applyAlignment="1">
      <alignment horizontal="center" vertical="center"/>
    </xf>
    <xf numFmtId="10" fontId="19" fillId="0" borderId="0" xfId="0" applyNumberFormat="1" applyFont="1" applyFill="1" applyBorder="1" applyAlignment="1">
      <alignment vertical="center"/>
    </xf>
    <xf numFmtId="0" fontId="0" fillId="0" borderId="3" xfId="0" applyFill="1" applyBorder="1" applyAlignment="1">
      <alignment horizontal="center"/>
    </xf>
    <xf numFmtId="0" fontId="0" fillId="0" borderId="3" xfId="0" applyFill="1" applyBorder="1" applyAlignment="1">
      <alignment horizontal="center" wrapText="1"/>
    </xf>
    <xf numFmtId="0" fontId="3" fillId="0" borderId="3" xfId="0" applyFont="1" applyBorder="1" applyAlignment="1">
      <alignment horizontal="center"/>
    </xf>
    <xf numFmtId="0" fontId="0" fillId="0" borderId="0" xfId="0" applyFont="1"/>
    <xf numFmtId="0" fontId="4" fillId="0" borderId="0" xfId="0" applyFont="1"/>
    <xf numFmtId="164" fontId="0" fillId="0" borderId="3" xfId="1" applyNumberFormat="1" applyFont="1" applyFill="1" applyBorder="1" applyAlignment="1">
      <alignment horizontal="center"/>
    </xf>
    <xf numFmtId="0" fontId="0" fillId="0" borderId="0" xfId="0" applyFont="1" applyAlignment="1">
      <alignment horizontal="center" vertical="center"/>
    </xf>
    <xf numFmtId="10" fontId="0" fillId="0" borderId="0" xfId="0" applyNumberFormat="1" applyFont="1" applyFill="1" applyBorder="1" applyAlignment="1">
      <alignment vertical="center"/>
    </xf>
    <xf numFmtId="0" fontId="3" fillId="0" borderId="3" xfId="0" applyFont="1" applyFill="1" applyBorder="1" applyAlignment="1">
      <alignment horizontal="center"/>
    </xf>
    <xf numFmtId="0" fontId="20" fillId="0" borderId="0" xfId="0" applyFont="1"/>
    <xf numFmtId="0" fontId="0" fillId="0" borderId="3" xfId="0" applyFont="1" applyFill="1" applyBorder="1" applyAlignment="1">
      <alignment horizontal="center" vertical="center"/>
    </xf>
    <xf numFmtId="0" fontId="20" fillId="0" borderId="0" xfId="0" applyFont="1" applyAlignment="1">
      <alignment horizontal="left"/>
    </xf>
    <xf numFmtId="0" fontId="3" fillId="2" borderId="33" xfId="0" applyFont="1" applyFill="1" applyBorder="1" applyAlignment="1">
      <alignment horizontal="center" vertical="center"/>
    </xf>
    <xf numFmtId="0" fontId="3" fillId="2" borderId="34" xfId="0" applyFont="1" applyFill="1" applyBorder="1" applyAlignment="1">
      <alignment horizontal="center" vertical="center"/>
    </xf>
    <xf numFmtId="0" fontId="3" fillId="10" borderId="33" xfId="0" applyFont="1" applyFill="1" applyBorder="1" applyAlignment="1">
      <alignment horizontal="center" vertical="center"/>
    </xf>
    <xf numFmtId="0" fontId="3" fillId="10" borderId="34" xfId="0" applyFont="1" applyFill="1" applyBorder="1" applyAlignment="1">
      <alignment horizontal="center" vertical="center"/>
    </xf>
    <xf numFmtId="0" fontId="21" fillId="0" borderId="0" xfId="0" applyFont="1"/>
    <xf numFmtId="10" fontId="21" fillId="0" borderId="0" xfId="0" applyNumberFormat="1" applyFont="1" applyFill="1" applyBorder="1" applyAlignment="1">
      <alignment vertical="center"/>
    </xf>
    <xf numFmtId="10" fontId="21" fillId="0" borderId="0" xfId="0" applyNumberFormat="1" applyFont="1" applyFill="1" applyBorder="1" applyAlignment="1">
      <alignment horizontal="center" vertical="center"/>
    </xf>
    <xf numFmtId="0" fontId="0" fillId="0" borderId="27" xfId="0" applyBorder="1"/>
    <xf numFmtId="0" fontId="0" fillId="0" borderId="29" xfId="0" applyBorder="1"/>
    <xf numFmtId="0" fontId="3" fillId="0" borderId="27" xfId="0" applyFont="1" applyBorder="1"/>
    <xf numFmtId="0" fontId="3" fillId="0" borderId="0" xfId="0" applyFont="1" applyBorder="1"/>
    <xf numFmtId="0" fontId="3" fillId="0" borderId="28" xfId="0" applyFont="1" applyBorder="1"/>
    <xf numFmtId="0" fontId="3" fillId="0" borderId="29" xfId="0" applyFont="1" applyBorder="1"/>
    <xf numFmtId="0" fontId="3" fillId="0" borderId="30" xfId="0" applyFont="1" applyBorder="1"/>
    <xf numFmtId="0" fontId="3" fillId="0" borderId="31" xfId="0" applyFont="1" applyBorder="1"/>
    <xf numFmtId="0" fontId="20" fillId="0" borderId="27" xfId="0" applyFont="1" applyBorder="1"/>
    <xf numFmtId="0" fontId="24" fillId="2" borderId="0" xfId="0" applyFont="1" applyFill="1" applyBorder="1"/>
    <xf numFmtId="0" fontId="3" fillId="9" borderId="18" xfId="0" applyFont="1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22" fillId="9" borderId="20" xfId="0" applyFont="1" applyFill="1" applyBorder="1" applyAlignment="1">
      <alignment horizontal="center"/>
    </xf>
    <xf numFmtId="0" fontId="18" fillId="9" borderId="2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6" fillId="0" borderId="3" xfId="0" applyFont="1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0" fillId="0" borderId="7" xfId="0" applyBorder="1"/>
    <xf numFmtId="0" fontId="0" fillId="0" borderId="12" xfId="0" applyBorder="1"/>
    <xf numFmtId="0" fontId="0" fillId="0" borderId="0" xfId="0" applyBorder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26" fillId="0" borderId="16" xfId="0" applyFont="1" applyFill="1" applyBorder="1" applyAlignment="1">
      <alignment horizontal="center" vertical="center"/>
    </xf>
    <xf numFmtId="0" fontId="26" fillId="0" borderId="17" xfId="0" applyFont="1" applyFill="1" applyBorder="1" applyAlignment="1">
      <alignment horizontal="center" vertical="center"/>
    </xf>
    <xf numFmtId="0" fontId="26" fillId="0" borderId="16" xfId="0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0" borderId="18" xfId="0" applyFont="1" applyFill="1" applyBorder="1" applyAlignment="1">
      <alignment horizontal="center" vertical="center"/>
    </xf>
    <xf numFmtId="0" fontId="26" fillId="0" borderId="19" xfId="0" applyFont="1" applyFill="1" applyBorder="1" applyAlignment="1">
      <alignment horizontal="center" vertical="center"/>
    </xf>
    <xf numFmtId="0" fontId="26" fillId="0" borderId="20" xfId="0" applyFont="1" applyFill="1" applyBorder="1" applyAlignment="1">
      <alignment horizontal="center" vertical="center"/>
    </xf>
    <xf numFmtId="0" fontId="27" fillId="0" borderId="17" xfId="0" applyFont="1" applyFill="1" applyBorder="1" applyAlignment="1">
      <alignment horizontal="center"/>
    </xf>
    <xf numFmtId="0" fontId="27" fillId="0" borderId="20" xfId="0" applyFont="1" applyFill="1" applyBorder="1" applyAlignment="1">
      <alignment horizontal="center"/>
    </xf>
    <xf numFmtId="0" fontId="27" fillId="0" borderId="41" xfId="0" applyFont="1" applyFill="1" applyBorder="1" applyAlignment="1">
      <alignment horizontal="center"/>
    </xf>
    <xf numFmtId="0" fontId="1" fillId="0" borderId="43" xfId="0" applyFont="1" applyFill="1" applyBorder="1" applyAlignment="1">
      <alignment horizontal="center" vertical="center" wrapText="1"/>
    </xf>
    <xf numFmtId="0" fontId="28" fillId="0" borderId="3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20" xfId="0" applyFont="1" applyBorder="1" applyAlignment="1">
      <alignment horizontal="center" vertical="center"/>
    </xf>
    <xf numFmtId="0" fontId="6" fillId="0" borderId="44" xfId="0" applyFont="1" applyFill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30" fillId="0" borderId="45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0" fillId="0" borderId="46" xfId="0" applyBorder="1"/>
    <xf numFmtId="0" fontId="6" fillId="0" borderId="46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center" wrapText="1"/>
    </xf>
    <xf numFmtId="0" fontId="21" fillId="0" borderId="26" xfId="0" applyFont="1" applyBorder="1" applyAlignment="1">
      <alignment horizontal="center" vertical="center" wrapText="1"/>
    </xf>
    <xf numFmtId="0" fontId="19" fillId="0" borderId="24" xfId="0" applyFont="1" applyBorder="1" applyAlignment="1">
      <alignment horizontal="center"/>
    </xf>
    <xf numFmtId="0" fontId="19" fillId="0" borderId="25" xfId="0" applyFont="1" applyBorder="1" applyAlignment="1">
      <alignment horizontal="center"/>
    </xf>
    <xf numFmtId="0" fontId="19" fillId="0" borderId="2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3" fillId="0" borderId="22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17" fillId="0" borderId="21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4" fillId="9" borderId="37" xfId="0" applyFont="1" applyFill="1" applyBorder="1" applyAlignment="1">
      <alignment horizontal="center"/>
    </xf>
    <xf numFmtId="0" fontId="4" fillId="9" borderId="6" xfId="0" applyFont="1" applyFill="1" applyBorder="1" applyAlignment="1">
      <alignment horizontal="center"/>
    </xf>
    <xf numFmtId="0" fontId="4" fillId="9" borderId="38" xfId="0" applyFont="1" applyFill="1" applyBorder="1" applyAlignment="1">
      <alignment horizontal="center"/>
    </xf>
    <xf numFmtId="0" fontId="4" fillId="9" borderId="39" xfId="0" applyFont="1" applyFill="1" applyBorder="1" applyAlignment="1">
      <alignment horizontal="center"/>
    </xf>
    <xf numFmtId="0" fontId="17" fillId="0" borderId="35" xfId="0" applyFont="1" applyBorder="1" applyAlignment="1">
      <alignment horizontal="center" vertical="center" wrapText="1"/>
    </xf>
    <xf numFmtId="0" fontId="17" fillId="0" borderId="36" xfId="0" applyFont="1" applyBorder="1" applyAlignment="1">
      <alignment horizontal="center" vertical="center" wrapText="1"/>
    </xf>
    <xf numFmtId="0" fontId="0" fillId="0" borderId="3" xfId="0" applyNumberFormat="1" applyFont="1" applyFill="1" applyBorder="1" applyAlignment="1">
      <alignment horizontal="center" vertical="center"/>
    </xf>
    <xf numFmtId="2" fontId="21" fillId="0" borderId="25" xfId="0" applyNumberFormat="1" applyFont="1" applyFill="1" applyBorder="1" applyAlignment="1">
      <alignment horizontal="center" vertical="center"/>
    </xf>
    <xf numFmtId="2" fontId="21" fillId="0" borderId="26" xfId="0" applyNumberFormat="1" applyFont="1" applyFill="1" applyBorder="1" applyAlignment="1">
      <alignment horizontal="center" vertical="center"/>
    </xf>
    <xf numFmtId="2" fontId="21" fillId="0" borderId="30" xfId="0" applyNumberFormat="1" applyFont="1" applyFill="1" applyBorder="1" applyAlignment="1">
      <alignment horizontal="center" vertical="center"/>
    </xf>
    <xf numFmtId="2" fontId="21" fillId="0" borderId="31" xfId="0" applyNumberFormat="1" applyFont="1" applyFill="1" applyBorder="1" applyAlignment="1">
      <alignment horizontal="center" vertical="center"/>
    </xf>
    <xf numFmtId="10" fontId="0" fillId="0" borderId="3" xfId="0" applyNumberFormat="1" applyFill="1" applyBorder="1" applyAlignment="1">
      <alignment horizontal="center" vertical="center"/>
    </xf>
    <xf numFmtId="10" fontId="0" fillId="0" borderId="3" xfId="0" applyNumberFormat="1" applyFont="1" applyFill="1" applyBorder="1" applyAlignment="1">
      <alignment horizontal="center" vertical="center"/>
    </xf>
    <xf numFmtId="10" fontId="21" fillId="0" borderId="25" xfId="0" applyNumberFormat="1" applyFont="1" applyFill="1" applyBorder="1" applyAlignment="1">
      <alignment horizontal="center" vertical="center"/>
    </xf>
    <xf numFmtId="10" fontId="21" fillId="0" borderId="26" xfId="0" applyNumberFormat="1" applyFont="1" applyFill="1" applyBorder="1" applyAlignment="1">
      <alignment horizontal="center" vertical="center"/>
    </xf>
    <xf numFmtId="10" fontId="21" fillId="0" borderId="30" xfId="0" applyNumberFormat="1" applyFont="1" applyFill="1" applyBorder="1" applyAlignment="1">
      <alignment horizontal="center" vertical="center"/>
    </xf>
    <xf numFmtId="10" fontId="21" fillId="0" borderId="31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7" borderId="4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7" fillId="0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10" fontId="0" fillId="0" borderId="3" xfId="1" applyNumberFormat="1" applyFont="1" applyBorder="1" applyAlignment="1">
      <alignment horizontal="center"/>
    </xf>
    <xf numFmtId="10" fontId="0" fillId="0" borderId="0" xfId="1" applyNumberFormat="1" applyFont="1" applyBorder="1" applyAlignment="1">
      <alignment horizontal="center"/>
    </xf>
    <xf numFmtId="10" fontId="0" fillId="0" borderId="4" xfId="1" applyNumberFormat="1" applyFont="1" applyBorder="1" applyAlignment="1">
      <alignment horizontal="center"/>
    </xf>
    <xf numFmtId="10" fontId="0" fillId="0" borderId="5" xfId="1" applyNumberFormat="1" applyFont="1" applyBorder="1" applyAlignment="1">
      <alignment horizontal="center"/>
    </xf>
    <xf numFmtId="10" fontId="0" fillId="0" borderId="6" xfId="1" applyNumberFormat="1" applyFont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0" fillId="0" borderId="3" xfId="0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0" fontId="1" fillId="0" borderId="14" xfId="0" applyFont="1" applyFill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1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4" fillId="0" borderId="0" xfId="0" applyFont="1" applyAlignment="1">
      <alignment horizontal="center" wrapText="1"/>
    </xf>
    <xf numFmtId="0" fontId="6" fillId="0" borderId="38" xfId="0" applyFont="1" applyFill="1" applyBorder="1" applyAlignment="1">
      <alignment horizontal="center"/>
    </xf>
    <xf numFmtId="0" fontId="6" fillId="0" borderId="39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 vertical="center" wrapText="1"/>
    </xf>
    <xf numFmtId="0" fontId="1" fillId="0" borderId="42" xfId="0" applyFont="1" applyFill="1" applyBorder="1" applyAlignment="1">
      <alignment horizontal="center" vertical="center" wrapText="1"/>
    </xf>
    <xf numFmtId="0" fontId="6" fillId="0" borderId="40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37" xfId="0" applyFont="1" applyFill="1" applyBorder="1" applyAlignment="1">
      <alignment horizontal="center"/>
    </xf>
    <xf numFmtId="0" fontId="6" fillId="0" borderId="6" xfId="0" applyFont="1" applyFill="1" applyBorder="1" applyAlignment="1">
      <alignment horizontal="center"/>
    </xf>
    <xf numFmtId="0" fontId="1" fillId="0" borderId="47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</cellXfs>
  <cellStyles count="3">
    <cellStyle name="Hiperlink" xfId="2" builtinId="8"/>
    <cellStyle name="Normal" xfId="0" builtinId="0"/>
    <cellStyle name="Porcentagem" xfId="1" builtinId="5"/>
  </cellStyles>
  <dxfs count="5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AUX Probabilidades'!A1"/><Relationship Id="rId3" Type="http://schemas.openxmlformats.org/officeDocument/2006/relationships/hyperlink" Target="#Sa&#237;da!A1"/><Relationship Id="rId7" Type="http://schemas.openxmlformats.org/officeDocument/2006/relationships/hyperlink" Target="#'AHP PM'!A1"/><Relationship Id="rId2" Type="http://schemas.openxmlformats.org/officeDocument/2006/relationships/hyperlink" Target="#Matrizes!A1"/><Relationship Id="rId1" Type="http://schemas.openxmlformats.org/officeDocument/2006/relationships/hyperlink" Target="#Entradas!A1"/><Relationship Id="rId6" Type="http://schemas.openxmlformats.org/officeDocument/2006/relationships/hyperlink" Target="#'AHP consistencia'!A1"/><Relationship Id="rId5" Type="http://schemas.openxmlformats.org/officeDocument/2006/relationships/hyperlink" Target="#'AHP Matriz'!A1"/><Relationship Id="rId4" Type="http://schemas.openxmlformats.org/officeDocument/2006/relationships/hyperlink" Target="#Probabilidades!A1"/><Relationship Id="rId9" Type="http://schemas.openxmlformats.org/officeDocument/2006/relationships/hyperlink" Target="#'Score ideia 2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a&#237;da!A1"/><Relationship Id="rId2" Type="http://schemas.openxmlformats.org/officeDocument/2006/relationships/hyperlink" Target="#Matrizes!A1"/><Relationship Id="rId1" Type="http://schemas.openxmlformats.org/officeDocument/2006/relationships/hyperlink" Target="#Capa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hyperlink" Target="#Entrad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a&#237;da!A1"/><Relationship Id="rId2" Type="http://schemas.openxmlformats.org/officeDocument/2006/relationships/image" Target="../media/image1.png"/><Relationship Id="rId1" Type="http://schemas.openxmlformats.org/officeDocument/2006/relationships/hyperlink" Target="#Capa!A1"/><Relationship Id="rId4" Type="http://schemas.openxmlformats.org/officeDocument/2006/relationships/hyperlink" Target="#Entradas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Capa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Capa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Capa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Capa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C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142875</xdr:rowOff>
    </xdr:from>
    <xdr:to>
      <xdr:col>4</xdr:col>
      <xdr:colOff>333375</xdr:colOff>
      <xdr:row>14</xdr:row>
      <xdr:rowOff>161924</xdr:rowOff>
    </xdr:to>
    <xdr:sp macro="" textlink="">
      <xdr:nvSpPr>
        <xdr:cNvPr id="2" name="Seta para a direita listrada 1">
          <a:hlinkClick xmlns:r="http://schemas.openxmlformats.org/officeDocument/2006/relationships" r:id="rId1"/>
        </xdr:cNvPr>
        <xdr:cNvSpPr/>
      </xdr:nvSpPr>
      <xdr:spPr>
        <a:xfrm>
          <a:off x="285750" y="1743075"/>
          <a:ext cx="1933575" cy="1352549"/>
        </a:xfrm>
        <a:prstGeom prst="stripedRight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Entrada</a:t>
          </a:r>
          <a:r>
            <a:rPr lang="pt-BR" sz="1600" b="1" baseline="0"/>
            <a:t> das Informações</a:t>
          </a:r>
          <a:endParaRPr lang="pt-BR" sz="1600" b="1"/>
        </a:p>
      </xdr:txBody>
    </xdr:sp>
    <xdr:clientData/>
  </xdr:twoCellAnchor>
  <xdr:twoCellAnchor>
    <xdr:from>
      <xdr:col>5</xdr:col>
      <xdr:colOff>371475</xdr:colOff>
      <xdr:row>8</xdr:row>
      <xdr:rowOff>47624</xdr:rowOff>
    </xdr:from>
    <xdr:to>
      <xdr:col>8</xdr:col>
      <xdr:colOff>161925</xdr:colOff>
      <xdr:row>12</xdr:row>
      <xdr:rowOff>171449</xdr:rowOff>
    </xdr:to>
    <xdr:sp macro="" textlink="">
      <xdr:nvSpPr>
        <xdr:cNvPr id="5" name="Fluxograma: Vários documentos 4">
          <a:hlinkClick xmlns:r="http://schemas.openxmlformats.org/officeDocument/2006/relationships" r:id="rId2"/>
        </xdr:cNvPr>
        <xdr:cNvSpPr/>
      </xdr:nvSpPr>
      <xdr:spPr>
        <a:xfrm>
          <a:off x="2867025" y="1838324"/>
          <a:ext cx="1619250" cy="885825"/>
        </a:xfrm>
        <a:prstGeom prst="flowChartMultidocumen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200" b="1"/>
            <a:t>Atualizar Matrizes de Transição</a:t>
          </a:r>
        </a:p>
      </xdr:txBody>
    </xdr:sp>
    <xdr:clientData/>
  </xdr:twoCellAnchor>
  <xdr:twoCellAnchor>
    <xdr:from>
      <xdr:col>1</xdr:col>
      <xdr:colOff>238125</xdr:colOff>
      <xdr:row>15</xdr:row>
      <xdr:rowOff>104775</xdr:rowOff>
    </xdr:from>
    <xdr:to>
      <xdr:col>4</xdr:col>
      <xdr:colOff>266700</xdr:colOff>
      <xdr:row>22</xdr:row>
      <xdr:rowOff>19050</xdr:rowOff>
    </xdr:to>
    <xdr:sp macro="" textlink="">
      <xdr:nvSpPr>
        <xdr:cNvPr id="6" name="Pergaminho vertical 5">
          <a:hlinkClick xmlns:r="http://schemas.openxmlformats.org/officeDocument/2006/relationships" r:id="rId3"/>
        </xdr:cNvPr>
        <xdr:cNvSpPr/>
      </xdr:nvSpPr>
      <xdr:spPr>
        <a:xfrm>
          <a:off x="295275" y="3228975"/>
          <a:ext cx="1857375" cy="1247775"/>
        </a:xfrm>
        <a:prstGeom prst="verticalScroll">
          <a:avLst>
            <a:gd name="adj" fmla="val 20658"/>
          </a:avLst>
        </a:prstGeom>
        <a:scene3d>
          <a:camera prst="perspectiveRight"/>
          <a:lightRig rig="threePt" dir="t"/>
        </a:scene3d>
      </xdr:spPr>
      <xdr:style>
        <a:lnRef idx="2">
          <a:schemeClr val="accent1">
            <a:shade val="50000"/>
          </a:schemeClr>
        </a:lnRef>
        <a:fillRef idx="1001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i="1">
              <a:solidFill>
                <a:sysClr val="windowText" lastClr="000000"/>
              </a:solidFill>
            </a:rPr>
            <a:t>Resultados</a:t>
          </a:r>
          <a:endParaRPr lang="pt-BR" sz="11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438150</xdr:colOff>
      <xdr:row>15</xdr:row>
      <xdr:rowOff>9525</xdr:rowOff>
    </xdr:from>
    <xdr:to>
      <xdr:col>8</xdr:col>
      <xdr:colOff>133350</xdr:colOff>
      <xdr:row>21</xdr:row>
      <xdr:rowOff>123824</xdr:rowOff>
    </xdr:to>
    <xdr:sp macro="" textlink="">
      <xdr:nvSpPr>
        <xdr:cNvPr id="7" name="Cubo 6">
          <a:hlinkClick xmlns:r="http://schemas.openxmlformats.org/officeDocument/2006/relationships" r:id="rId4"/>
        </xdr:cNvPr>
        <xdr:cNvSpPr/>
      </xdr:nvSpPr>
      <xdr:spPr>
        <a:xfrm>
          <a:off x="2933700" y="3133725"/>
          <a:ext cx="1524000" cy="1257299"/>
        </a:xfrm>
        <a:prstGeom prst="cub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Probabilidades</a:t>
          </a:r>
        </a:p>
      </xdr:txBody>
    </xdr:sp>
    <xdr:clientData/>
  </xdr:twoCellAnchor>
  <xdr:twoCellAnchor>
    <xdr:from>
      <xdr:col>9</xdr:col>
      <xdr:colOff>161926</xdr:colOff>
      <xdr:row>8</xdr:row>
      <xdr:rowOff>0</xdr:rowOff>
    </xdr:from>
    <xdr:to>
      <xdr:col>12</xdr:col>
      <xdr:colOff>419100</xdr:colOff>
      <xdr:row>11</xdr:row>
      <xdr:rowOff>19049</xdr:rowOff>
    </xdr:to>
    <xdr:sp macro="" textlink="">
      <xdr:nvSpPr>
        <xdr:cNvPr id="8" name="Colchete duplo 7">
          <a:hlinkClick xmlns:r="http://schemas.openxmlformats.org/officeDocument/2006/relationships" r:id="rId5"/>
        </xdr:cNvPr>
        <xdr:cNvSpPr/>
      </xdr:nvSpPr>
      <xdr:spPr>
        <a:xfrm>
          <a:off x="5095876" y="1790700"/>
          <a:ext cx="2085974" cy="590549"/>
        </a:xfrm>
        <a:prstGeom prst="bracketPair">
          <a:avLst>
            <a:gd name="adj" fmla="val 16667"/>
          </a:avLst>
        </a:prstGeom>
        <a:ln w="57150"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Matriz de Transição</a:t>
          </a:r>
        </a:p>
      </xdr:txBody>
    </xdr:sp>
    <xdr:clientData/>
  </xdr:twoCellAnchor>
  <xdr:twoCellAnchor>
    <xdr:from>
      <xdr:col>9</xdr:col>
      <xdr:colOff>190500</xdr:colOff>
      <xdr:row>13</xdr:row>
      <xdr:rowOff>38100</xdr:rowOff>
    </xdr:from>
    <xdr:to>
      <xdr:col>12</xdr:col>
      <xdr:colOff>447674</xdr:colOff>
      <xdr:row>16</xdr:row>
      <xdr:rowOff>57149</xdr:rowOff>
    </xdr:to>
    <xdr:sp macro="" textlink="">
      <xdr:nvSpPr>
        <xdr:cNvPr id="9" name="Colchete duplo 8">
          <a:hlinkClick xmlns:r="http://schemas.openxmlformats.org/officeDocument/2006/relationships" r:id="rId6"/>
        </xdr:cNvPr>
        <xdr:cNvSpPr/>
      </xdr:nvSpPr>
      <xdr:spPr>
        <a:xfrm>
          <a:off x="5124450" y="2781300"/>
          <a:ext cx="2085974" cy="590549"/>
        </a:xfrm>
        <a:prstGeom prst="bracketPair">
          <a:avLst>
            <a:gd name="adj" fmla="val 16667"/>
          </a:avLst>
        </a:prstGeom>
        <a:ln w="57150"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Índice</a:t>
          </a:r>
          <a:r>
            <a:rPr lang="pt-BR" sz="1600" baseline="0"/>
            <a:t> de Consistência</a:t>
          </a:r>
          <a:endParaRPr lang="pt-BR" sz="1600"/>
        </a:p>
      </xdr:txBody>
    </xdr:sp>
    <xdr:clientData/>
  </xdr:twoCellAnchor>
  <xdr:twoCellAnchor>
    <xdr:from>
      <xdr:col>9</xdr:col>
      <xdr:colOff>161925</xdr:colOff>
      <xdr:row>18</xdr:row>
      <xdr:rowOff>28575</xdr:rowOff>
    </xdr:from>
    <xdr:to>
      <xdr:col>12</xdr:col>
      <xdr:colOff>419099</xdr:colOff>
      <xdr:row>21</xdr:row>
      <xdr:rowOff>142875</xdr:rowOff>
    </xdr:to>
    <xdr:sp macro="" textlink="">
      <xdr:nvSpPr>
        <xdr:cNvPr id="10" name="Colchete duplo 9">
          <a:hlinkClick xmlns:r="http://schemas.openxmlformats.org/officeDocument/2006/relationships" r:id="rId7"/>
        </xdr:cNvPr>
        <xdr:cNvSpPr/>
      </xdr:nvSpPr>
      <xdr:spPr>
        <a:xfrm>
          <a:off x="5095875" y="3724275"/>
          <a:ext cx="2085974" cy="685800"/>
        </a:xfrm>
        <a:prstGeom prst="bracketPair">
          <a:avLst>
            <a:gd name="adj" fmla="val 16667"/>
          </a:avLst>
        </a:prstGeom>
        <a:ln w="57150"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Vetor de Prioridades</a:t>
          </a:r>
        </a:p>
      </xdr:txBody>
    </xdr:sp>
    <xdr:clientData/>
  </xdr:twoCellAnchor>
  <xdr:twoCellAnchor>
    <xdr:from>
      <xdr:col>13</xdr:col>
      <xdr:colOff>247650</xdr:colOff>
      <xdr:row>9</xdr:row>
      <xdr:rowOff>76200</xdr:rowOff>
    </xdr:from>
    <xdr:to>
      <xdr:col>16</xdr:col>
      <xdr:colOff>400050</xdr:colOff>
      <xdr:row>13</xdr:row>
      <xdr:rowOff>57150</xdr:rowOff>
    </xdr:to>
    <xdr:sp macro="" textlink="">
      <xdr:nvSpPr>
        <xdr:cNvPr id="11" name="Paralelogramo 10">
          <a:hlinkClick xmlns:r="http://schemas.openxmlformats.org/officeDocument/2006/relationships" r:id="rId8"/>
        </xdr:cNvPr>
        <xdr:cNvSpPr/>
      </xdr:nvSpPr>
      <xdr:spPr>
        <a:xfrm>
          <a:off x="7620000" y="2057400"/>
          <a:ext cx="1981200" cy="742950"/>
        </a:xfrm>
        <a:prstGeom prst="parallelogram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Cálculo das Probabilidades</a:t>
          </a:r>
        </a:p>
      </xdr:txBody>
    </xdr:sp>
    <xdr:clientData/>
  </xdr:twoCellAnchor>
  <xdr:twoCellAnchor>
    <xdr:from>
      <xdr:col>13</xdr:col>
      <xdr:colOff>190500</xdr:colOff>
      <xdr:row>16</xdr:row>
      <xdr:rowOff>47625</xdr:rowOff>
    </xdr:from>
    <xdr:to>
      <xdr:col>16</xdr:col>
      <xdr:colOff>342900</xdr:colOff>
      <xdr:row>20</xdr:row>
      <xdr:rowOff>28575</xdr:rowOff>
    </xdr:to>
    <xdr:sp macro="" textlink="">
      <xdr:nvSpPr>
        <xdr:cNvPr id="12" name="Paralelogramo 11">
          <a:hlinkClick xmlns:r="http://schemas.openxmlformats.org/officeDocument/2006/relationships" r:id="rId9"/>
        </xdr:cNvPr>
        <xdr:cNvSpPr/>
      </xdr:nvSpPr>
      <xdr:spPr>
        <a:xfrm>
          <a:off x="7562850" y="3362325"/>
          <a:ext cx="1981200" cy="742950"/>
        </a:xfrm>
        <a:prstGeom prst="parallelogram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Cálculo</a:t>
          </a:r>
          <a:r>
            <a:rPr lang="pt-BR" sz="1400" baseline="0"/>
            <a:t> do Retorno</a:t>
          </a:r>
          <a:endParaRPr lang="pt-BR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11</xdr:row>
      <xdr:rowOff>133350</xdr:rowOff>
    </xdr:from>
    <xdr:to>
      <xdr:col>4</xdr:col>
      <xdr:colOff>1114425</xdr:colOff>
      <xdr:row>13</xdr:row>
      <xdr:rowOff>190500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4562475" y="2333625"/>
          <a:ext cx="923925" cy="466725"/>
        </a:xfrm>
        <a:prstGeom prst="lef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 i="1"/>
            <a:t>Voltar</a:t>
          </a:r>
          <a:endParaRPr lang="pt-BR" sz="1100" b="1" i="1"/>
        </a:p>
      </xdr:txBody>
    </xdr:sp>
    <xdr:clientData/>
  </xdr:twoCellAnchor>
  <xdr:twoCellAnchor>
    <xdr:from>
      <xdr:col>4</xdr:col>
      <xdr:colOff>142875</xdr:colOff>
      <xdr:row>6</xdr:row>
      <xdr:rowOff>180975</xdr:rowOff>
    </xdr:from>
    <xdr:to>
      <xdr:col>6</xdr:col>
      <xdr:colOff>66674</xdr:colOff>
      <xdr:row>10</xdr:row>
      <xdr:rowOff>133351</xdr:rowOff>
    </xdr:to>
    <xdr:sp macro="" textlink="">
      <xdr:nvSpPr>
        <xdr:cNvPr id="6" name="Seta para a direita listrada 5">
          <a:hlinkClick xmlns:r="http://schemas.openxmlformats.org/officeDocument/2006/relationships" r:id="rId2"/>
        </xdr:cNvPr>
        <xdr:cNvSpPr/>
      </xdr:nvSpPr>
      <xdr:spPr>
        <a:xfrm>
          <a:off x="4514850" y="1400175"/>
          <a:ext cx="1333499" cy="733426"/>
        </a:xfrm>
        <a:prstGeom prst="stripedRightArrow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Atualzar Matriz</a:t>
          </a:r>
          <a:r>
            <a:rPr lang="pt-BR" sz="800" b="1" baseline="0"/>
            <a:t> conforme paciente</a:t>
          </a:r>
          <a:endParaRPr lang="pt-BR" sz="800" b="1"/>
        </a:p>
      </xdr:txBody>
    </xdr:sp>
    <xdr:clientData/>
  </xdr:twoCellAnchor>
  <xdr:twoCellAnchor>
    <xdr:from>
      <xdr:col>4</xdr:col>
      <xdr:colOff>142875</xdr:colOff>
      <xdr:row>3</xdr:row>
      <xdr:rowOff>104775</xdr:rowOff>
    </xdr:from>
    <xdr:to>
      <xdr:col>6</xdr:col>
      <xdr:colOff>66674</xdr:colOff>
      <xdr:row>6</xdr:row>
      <xdr:rowOff>76201</xdr:rowOff>
    </xdr:to>
    <xdr:sp macro="" textlink="">
      <xdr:nvSpPr>
        <xdr:cNvPr id="5" name="Seta para a direita listrada 4">
          <a:hlinkClick xmlns:r="http://schemas.openxmlformats.org/officeDocument/2006/relationships" r:id="rId3"/>
        </xdr:cNvPr>
        <xdr:cNvSpPr/>
      </xdr:nvSpPr>
      <xdr:spPr>
        <a:xfrm>
          <a:off x="4514850" y="561975"/>
          <a:ext cx="1333499" cy="733426"/>
        </a:xfrm>
        <a:prstGeom prst="stripedRight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Resultado</a:t>
          </a:r>
          <a:r>
            <a:rPr lang="pt-BR" sz="800" b="1" baseline="0"/>
            <a:t> do Método</a:t>
          </a:r>
          <a:endParaRPr lang="pt-BR" sz="8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247650</xdr:colOff>
      <xdr:row>1</xdr:row>
      <xdr:rowOff>9526</xdr:rowOff>
    </xdr:from>
    <xdr:to>
      <xdr:col>16</xdr:col>
      <xdr:colOff>285744</xdr:colOff>
      <xdr:row>3</xdr:row>
      <xdr:rowOff>180975</xdr:rowOff>
    </xdr:to>
    <xdr:sp macro="" textlink="">
      <xdr:nvSpPr>
        <xdr:cNvPr id="2" name="Seta para a direita listrada 1">
          <a:hlinkClick xmlns:r="http://schemas.openxmlformats.org/officeDocument/2006/relationships" r:id="rId1"/>
        </xdr:cNvPr>
        <xdr:cNvSpPr/>
      </xdr:nvSpPr>
      <xdr:spPr>
        <a:xfrm flipH="1">
          <a:off x="8382000" y="104776"/>
          <a:ext cx="1257294" cy="742949"/>
        </a:xfrm>
        <a:prstGeom prst="stripedRigh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900" b="1"/>
            <a:t>Entrada</a:t>
          </a:r>
          <a:r>
            <a:rPr lang="pt-BR" sz="900" b="1" baseline="0"/>
            <a:t> das Informações</a:t>
          </a:r>
          <a:endParaRPr lang="pt-BR" sz="900" b="1"/>
        </a:p>
      </xdr:txBody>
    </xdr:sp>
    <xdr:clientData/>
  </xdr:twoCellAnchor>
  <xdr:twoCellAnchor>
    <xdr:from>
      <xdr:col>14</xdr:col>
      <xdr:colOff>352425</xdr:colOff>
      <xdr:row>4</xdr:row>
      <xdr:rowOff>161925</xdr:rowOff>
    </xdr:from>
    <xdr:to>
      <xdr:col>16</xdr:col>
      <xdr:colOff>57150</xdr:colOff>
      <xdr:row>7</xdr:row>
      <xdr:rowOff>123825</xdr:rowOff>
    </xdr:to>
    <xdr:sp macro="" textlink="">
      <xdr:nvSpPr>
        <xdr:cNvPr id="4" name="Seta para a esquerda 3">
          <a:hlinkClick xmlns:r="http://schemas.openxmlformats.org/officeDocument/2006/relationships" r:id="rId2"/>
        </xdr:cNvPr>
        <xdr:cNvSpPr/>
      </xdr:nvSpPr>
      <xdr:spPr>
        <a:xfrm>
          <a:off x="8486775" y="1028700"/>
          <a:ext cx="923925" cy="466725"/>
        </a:xfrm>
        <a:prstGeom prst="lef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 i="1"/>
            <a:t>Voltar</a:t>
          </a:r>
          <a:endParaRPr lang="pt-BR" sz="1100" b="1" i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</xdr:colOff>
      <xdr:row>1</xdr:row>
      <xdr:rowOff>47625</xdr:rowOff>
    </xdr:from>
    <xdr:to>
      <xdr:col>7</xdr:col>
      <xdr:colOff>857250</xdr:colOff>
      <xdr:row>3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5848350" y="95250"/>
          <a:ext cx="923925" cy="457200"/>
        </a:xfrm>
        <a:prstGeom prst="lef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 i="1"/>
            <a:t>Voltar</a:t>
          </a:r>
          <a:endParaRPr lang="pt-BR" sz="1100" b="1" i="1"/>
        </a:p>
      </xdr:txBody>
    </xdr:sp>
    <xdr:clientData/>
  </xdr:twoCellAnchor>
  <xdr:twoCellAnchor>
    <xdr:from>
      <xdr:col>7</xdr:col>
      <xdr:colOff>28576</xdr:colOff>
      <xdr:row>19</xdr:row>
      <xdr:rowOff>0</xdr:rowOff>
    </xdr:from>
    <xdr:to>
      <xdr:col>7</xdr:col>
      <xdr:colOff>685800</xdr:colOff>
      <xdr:row>20</xdr:row>
      <xdr:rowOff>85725</xdr:rowOff>
    </xdr:to>
    <xdr:sp macro="[0]!Geral" textlink="">
      <xdr:nvSpPr>
        <xdr:cNvPr id="4" name="Retângulo 3"/>
        <xdr:cNvSpPr/>
      </xdr:nvSpPr>
      <xdr:spPr>
        <a:xfrm>
          <a:off x="5943601" y="3695700"/>
          <a:ext cx="657224" cy="2762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Geral</a:t>
          </a:r>
        </a:p>
      </xdr:txBody>
    </xdr:sp>
    <xdr:clientData/>
  </xdr:twoCellAnchor>
  <xdr:twoCellAnchor editAs="oneCell">
    <xdr:from>
      <xdr:col>1</xdr:col>
      <xdr:colOff>38100</xdr:colOff>
      <xdr:row>3</xdr:row>
      <xdr:rowOff>19050</xdr:rowOff>
    </xdr:from>
    <xdr:to>
      <xdr:col>4</xdr:col>
      <xdr:colOff>1219200</xdr:colOff>
      <xdr:row>19</xdr:row>
      <xdr:rowOff>9525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4300" y="476250"/>
          <a:ext cx="5476875" cy="32289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</xdr:col>
      <xdr:colOff>104775</xdr:colOff>
      <xdr:row>19</xdr:row>
      <xdr:rowOff>76200</xdr:rowOff>
    </xdr:from>
    <xdr:to>
      <xdr:col>1</xdr:col>
      <xdr:colOff>581025</xdr:colOff>
      <xdr:row>20</xdr:row>
      <xdr:rowOff>161925</xdr:rowOff>
    </xdr:to>
    <xdr:sp macro="[0]!Macro000" textlink="">
      <xdr:nvSpPr>
        <xdr:cNvPr id="6" name="Retângulo 5"/>
        <xdr:cNvSpPr/>
      </xdr:nvSpPr>
      <xdr:spPr>
        <a:xfrm>
          <a:off x="180975" y="3771900"/>
          <a:ext cx="476250" cy="2762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000</a:t>
          </a:r>
        </a:p>
      </xdr:txBody>
    </xdr:sp>
    <xdr:clientData/>
  </xdr:twoCellAnchor>
  <xdr:twoCellAnchor>
    <xdr:from>
      <xdr:col>2</xdr:col>
      <xdr:colOff>28575</xdr:colOff>
      <xdr:row>19</xdr:row>
      <xdr:rowOff>57150</xdr:rowOff>
    </xdr:from>
    <xdr:to>
      <xdr:col>2</xdr:col>
      <xdr:colOff>504825</xdr:colOff>
      <xdr:row>20</xdr:row>
      <xdr:rowOff>142875</xdr:rowOff>
    </xdr:to>
    <xdr:sp macro="[0]!Macro001" textlink="">
      <xdr:nvSpPr>
        <xdr:cNvPr id="8" name="Retângulo 7"/>
        <xdr:cNvSpPr/>
      </xdr:nvSpPr>
      <xdr:spPr>
        <a:xfrm>
          <a:off x="866775" y="3752850"/>
          <a:ext cx="476250" cy="2762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001</a:t>
          </a:r>
        </a:p>
      </xdr:txBody>
    </xdr:sp>
    <xdr:clientData/>
  </xdr:twoCellAnchor>
  <xdr:twoCellAnchor>
    <xdr:from>
      <xdr:col>2</xdr:col>
      <xdr:colOff>723900</xdr:colOff>
      <xdr:row>19</xdr:row>
      <xdr:rowOff>47625</xdr:rowOff>
    </xdr:from>
    <xdr:to>
      <xdr:col>2</xdr:col>
      <xdr:colOff>1200150</xdr:colOff>
      <xdr:row>20</xdr:row>
      <xdr:rowOff>133350</xdr:rowOff>
    </xdr:to>
    <xdr:sp macro="[0]!Macro010" textlink="">
      <xdr:nvSpPr>
        <xdr:cNvPr id="9" name="Retângulo 8"/>
        <xdr:cNvSpPr/>
      </xdr:nvSpPr>
      <xdr:spPr>
        <a:xfrm>
          <a:off x="1562100" y="3743325"/>
          <a:ext cx="476250" cy="2762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010</a:t>
          </a:r>
        </a:p>
      </xdr:txBody>
    </xdr:sp>
    <xdr:clientData/>
  </xdr:twoCellAnchor>
  <xdr:twoCellAnchor>
    <xdr:from>
      <xdr:col>2</xdr:col>
      <xdr:colOff>1457325</xdr:colOff>
      <xdr:row>19</xdr:row>
      <xdr:rowOff>28575</xdr:rowOff>
    </xdr:from>
    <xdr:to>
      <xdr:col>2</xdr:col>
      <xdr:colOff>1933575</xdr:colOff>
      <xdr:row>20</xdr:row>
      <xdr:rowOff>114300</xdr:rowOff>
    </xdr:to>
    <xdr:sp macro="[0]!Macro011" textlink="">
      <xdr:nvSpPr>
        <xdr:cNvPr id="10" name="Retângulo 9"/>
        <xdr:cNvSpPr/>
      </xdr:nvSpPr>
      <xdr:spPr>
        <a:xfrm>
          <a:off x="2295525" y="3724275"/>
          <a:ext cx="476250" cy="2762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011</a:t>
          </a:r>
        </a:p>
      </xdr:txBody>
    </xdr:sp>
    <xdr:clientData/>
  </xdr:twoCellAnchor>
  <xdr:twoCellAnchor>
    <xdr:from>
      <xdr:col>2</xdr:col>
      <xdr:colOff>2133600</xdr:colOff>
      <xdr:row>19</xdr:row>
      <xdr:rowOff>47625</xdr:rowOff>
    </xdr:from>
    <xdr:to>
      <xdr:col>3</xdr:col>
      <xdr:colOff>161925</xdr:colOff>
      <xdr:row>20</xdr:row>
      <xdr:rowOff>133350</xdr:rowOff>
    </xdr:to>
    <xdr:sp macro="[0]!Macro100" textlink="">
      <xdr:nvSpPr>
        <xdr:cNvPr id="11" name="Retângulo 10"/>
        <xdr:cNvSpPr/>
      </xdr:nvSpPr>
      <xdr:spPr>
        <a:xfrm>
          <a:off x="2971800" y="3743325"/>
          <a:ext cx="476250" cy="2762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100</a:t>
          </a:r>
        </a:p>
      </xdr:txBody>
    </xdr:sp>
    <xdr:clientData/>
  </xdr:twoCellAnchor>
  <xdr:twoCellAnchor>
    <xdr:from>
      <xdr:col>3</xdr:col>
      <xdr:colOff>352425</xdr:colOff>
      <xdr:row>19</xdr:row>
      <xdr:rowOff>28575</xdr:rowOff>
    </xdr:from>
    <xdr:to>
      <xdr:col>3</xdr:col>
      <xdr:colOff>828675</xdr:colOff>
      <xdr:row>20</xdr:row>
      <xdr:rowOff>114300</xdr:rowOff>
    </xdr:to>
    <xdr:sp macro="[0]!Macro101" textlink="">
      <xdr:nvSpPr>
        <xdr:cNvPr id="12" name="Retângulo 11"/>
        <xdr:cNvSpPr/>
      </xdr:nvSpPr>
      <xdr:spPr>
        <a:xfrm>
          <a:off x="3638550" y="3724275"/>
          <a:ext cx="476250" cy="2762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101</a:t>
          </a:r>
        </a:p>
      </xdr:txBody>
    </xdr:sp>
    <xdr:clientData/>
  </xdr:twoCellAnchor>
  <xdr:twoCellAnchor>
    <xdr:from>
      <xdr:col>3</xdr:col>
      <xdr:colOff>1028700</xdr:colOff>
      <xdr:row>19</xdr:row>
      <xdr:rowOff>38100</xdr:rowOff>
    </xdr:from>
    <xdr:to>
      <xdr:col>4</xdr:col>
      <xdr:colOff>419100</xdr:colOff>
      <xdr:row>20</xdr:row>
      <xdr:rowOff>123825</xdr:rowOff>
    </xdr:to>
    <xdr:sp macro="[0]!Macro110" textlink="">
      <xdr:nvSpPr>
        <xdr:cNvPr id="13" name="Retângulo 12"/>
        <xdr:cNvSpPr/>
      </xdr:nvSpPr>
      <xdr:spPr>
        <a:xfrm>
          <a:off x="4314825" y="3733800"/>
          <a:ext cx="476250" cy="2762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110</a:t>
          </a:r>
        </a:p>
      </xdr:txBody>
    </xdr:sp>
    <xdr:clientData/>
  </xdr:twoCellAnchor>
  <xdr:twoCellAnchor>
    <xdr:from>
      <xdr:col>4</xdr:col>
      <xdr:colOff>666750</xdr:colOff>
      <xdr:row>19</xdr:row>
      <xdr:rowOff>28575</xdr:rowOff>
    </xdr:from>
    <xdr:to>
      <xdr:col>4</xdr:col>
      <xdr:colOff>1143000</xdr:colOff>
      <xdr:row>20</xdr:row>
      <xdr:rowOff>114300</xdr:rowOff>
    </xdr:to>
    <xdr:sp macro="[0]!macro111" textlink="">
      <xdr:nvSpPr>
        <xdr:cNvPr id="14" name="Retângulo 13"/>
        <xdr:cNvSpPr/>
      </xdr:nvSpPr>
      <xdr:spPr>
        <a:xfrm>
          <a:off x="5038725" y="3724275"/>
          <a:ext cx="476250" cy="2762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111</a:t>
          </a:r>
        </a:p>
      </xdr:txBody>
    </xdr:sp>
    <xdr:clientData/>
  </xdr:twoCellAnchor>
  <xdr:twoCellAnchor>
    <xdr:from>
      <xdr:col>6</xdr:col>
      <xdr:colOff>28575</xdr:colOff>
      <xdr:row>7</xdr:row>
      <xdr:rowOff>123825</xdr:rowOff>
    </xdr:from>
    <xdr:to>
      <xdr:col>7</xdr:col>
      <xdr:colOff>1228724</xdr:colOff>
      <xdr:row>11</xdr:row>
      <xdr:rowOff>95251</xdr:rowOff>
    </xdr:to>
    <xdr:sp macro="" textlink="">
      <xdr:nvSpPr>
        <xdr:cNvPr id="15" name="Seta para a direita listrada 14">
          <a:hlinkClick xmlns:r="http://schemas.openxmlformats.org/officeDocument/2006/relationships" r:id="rId3"/>
        </xdr:cNvPr>
        <xdr:cNvSpPr/>
      </xdr:nvSpPr>
      <xdr:spPr>
        <a:xfrm>
          <a:off x="5810250" y="1524000"/>
          <a:ext cx="1333499" cy="733426"/>
        </a:xfrm>
        <a:prstGeom prst="stripedRight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Resultado</a:t>
          </a:r>
          <a:r>
            <a:rPr lang="pt-BR" sz="800" b="1" baseline="0"/>
            <a:t> do Método</a:t>
          </a:r>
          <a:endParaRPr lang="pt-BR" sz="800" b="1"/>
        </a:p>
      </xdr:txBody>
    </xdr:sp>
    <xdr:clientData/>
  </xdr:twoCellAnchor>
  <xdr:twoCellAnchor>
    <xdr:from>
      <xdr:col>5</xdr:col>
      <xdr:colOff>28575</xdr:colOff>
      <xdr:row>3</xdr:row>
      <xdr:rowOff>285750</xdr:rowOff>
    </xdr:from>
    <xdr:to>
      <xdr:col>7</xdr:col>
      <xdr:colOff>923925</xdr:colOff>
      <xdr:row>6</xdr:row>
      <xdr:rowOff>142875</xdr:rowOff>
    </xdr:to>
    <xdr:sp macro="" textlink="">
      <xdr:nvSpPr>
        <xdr:cNvPr id="16" name="Seta para a esquerda 15">
          <a:hlinkClick xmlns:r="http://schemas.openxmlformats.org/officeDocument/2006/relationships" r:id="rId4"/>
        </xdr:cNvPr>
        <xdr:cNvSpPr/>
      </xdr:nvSpPr>
      <xdr:spPr>
        <a:xfrm>
          <a:off x="5724525" y="742950"/>
          <a:ext cx="1114425" cy="609600"/>
        </a:xfrm>
        <a:prstGeom prst="lef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 i="1"/>
            <a:t>Dados</a:t>
          </a:r>
          <a:r>
            <a:rPr lang="pt-BR" sz="1000" b="1" i="1" baseline="0"/>
            <a:t> Entrada</a:t>
          </a:r>
          <a:endParaRPr lang="pt-BR" sz="1100" b="1" i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0</xdr:row>
      <xdr:rowOff>104775</xdr:rowOff>
    </xdr:from>
    <xdr:to>
      <xdr:col>1</xdr:col>
      <xdr:colOff>1009650</xdr:colOff>
      <xdr:row>4</xdr:row>
      <xdr:rowOff>38100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161925" y="104775"/>
          <a:ext cx="923925" cy="466725"/>
        </a:xfrm>
        <a:prstGeom prst="lef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 i="1"/>
            <a:t>Voltar</a:t>
          </a:r>
          <a:endParaRPr lang="pt-BR" sz="1100" b="1" i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323850</xdr:colOff>
      <xdr:row>1</xdr:row>
      <xdr:rowOff>57150</xdr:rowOff>
    </xdr:from>
    <xdr:to>
      <xdr:col>13</xdr:col>
      <xdr:colOff>9525</xdr:colOff>
      <xdr:row>4</xdr:row>
      <xdr:rowOff>85725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7191375" y="247650"/>
          <a:ext cx="923925" cy="466725"/>
        </a:xfrm>
        <a:prstGeom prst="lef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 i="1"/>
            <a:t>Voltar</a:t>
          </a:r>
          <a:endParaRPr lang="pt-BR" sz="1100" b="1" i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285750</xdr:colOff>
      <xdr:row>1</xdr:row>
      <xdr:rowOff>133350</xdr:rowOff>
    </xdr:from>
    <xdr:to>
      <xdr:col>18</xdr:col>
      <xdr:colOff>600075</xdr:colOff>
      <xdr:row>4</xdr:row>
      <xdr:rowOff>47625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9610725" y="219075"/>
          <a:ext cx="923925" cy="466725"/>
        </a:xfrm>
        <a:prstGeom prst="lef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 i="1"/>
            <a:t>Voltar</a:t>
          </a:r>
          <a:endParaRPr lang="pt-BR" sz="1100" b="1" i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447675</xdr:colOff>
      <xdr:row>1</xdr:row>
      <xdr:rowOff>123825</xdr:rowOff>
    </xdr:from>
    <xdr:to>
      <xdr:col>21</xdr:col>
      <xdr:colOff>152400</xdr:colOff>
      <xdr:row>4</xdr:row>
      <xdr:rowOff>19050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9124950" y="314325"/>
          <a:ext cx="923925" cy="466725"/>
        </a:xfrm>
        <a:prstGeom prst="lef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 i="1"/>
            <a:t>Voltar</a:t>
          </a:r>
          <a:endParaRPr lang="pt-BR" sz="1100" b="1" i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209550</xdr:colOff>
      <xdr:row>1</xdr:row>
      <xdr:rowOff>104775</xdr:rowOff>
    </xdr:from>
    <xdr:to>
      <xdr:col>15</xdr:col>
      <xdr:colOff>523875</xdr:colOff>
      <xdr:row>4</xdr:row>
      <xdr:rowOff>0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6534150" y="295275"/>
          <a:ext cx="923925" cy="466725"/>
        </a:xfrm>
        <a:prstGeom prst="lef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 i="1"/>
            <a:t>Voltar</a:t>
          </a:r>
          <a:endParaRPr lang="pt-BR" sz="1100" b="1" i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2</xdr:row>
      <xdr:rowOff>19050</xdr:rowOff>
    </xdr:from>
    <xdr:to>
      <xdr:col>1</xdr:col>
      <xdr:colOff>1304925</xdr:colOff>
      <xdr:row>4</xdr:row>
      <xdr:rowOff>104775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466725" y="257175"/>
          <a:ext cx="923925" cy="466725"/>
        </a:xfrm>
        <a:prstGeom prst="lef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 i="1"/>
            <a:t>Voltar</a:t>
          </a:r>
          <a:endParaRPr lang="pt-BR" sz="1100" b="1" i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3</xdr:row>
      <xdr:rowOff>19050</xdr:rowOff>
    </xdr:from>
    <xdr:to>
      <xdr:col>7</xdr:col>
      <xdr:colOff>600075</xdr:colOff>
      <xdr:row>3</xdr:row>
      <xdr:rowOff>19050</xdr:rowOff>
    </xdr:to>
    <xdr:cxnSp macro="">
      <xdr:nvCxnSpPr>
        <xdr:cNvPr id="3" name="Conector de seta reta 2"/>
        <xdr:cNvCxnSpPr/>
      </xdr:nvCxnSpPr>
      <xdr:spPr>
        <a:xfrm>
          <a:off x="2390775" y="590550"/>
          <a:ext cx="1647825" cy="0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76200</xdr:colOff>
      <xdr:row>3</xdr:row>
      <xdr:rowOff>180975</xdr:rowOff>
    </xdr:from>
    <xdr:to>
      <xdr:col>13</xdr:col>
      <xdr:colOff>342900</xdr:colOff>
      <xdr:row>4</xdr:row>
      <xdr:rowOff>104775</xdr:rowOff>
    </xdr:to>
    <xdr:cxnSp macro="">
      <xdr:nvCxnSpPr>
        <xdr:cNvPr id="12" name="Conector de seta reta 11"/>
        <xdr:cNvCxnSpPr/>
      </xdr:nvCxnSpPr>
      <xdr:spPr>
        <a:xfrm>
          <a:off x="5124450" y="752475"/>
          <a:ext cx="419100" cy="114300"/>
        </a:xfrm>
        <a:prstGeom prst="straightConnector1">
          <a:avLst/>
        </a:prstGeom>
        <a:ln>
          <a:prstDash val="sysDash"/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419100</xdr:colOff>
      <xdr:row>2</xdr:row>
      <xdr:rowOff>133349</xdr:rowOff>
    </xdr:from>
    <xdr:to>
      <xdr:col>15</xdr:col>
      <xdr:colOff>247651</xdr:colOff>
      <xdr:row>6</xdr:row>
      <xdr:rowOff>104774</xdr:rowOff>
    </xdr:to>
    <xdr:sp macro="" textlink="">
      <xdr:nvSpPr>
        <xdr:cNvPr id="23" name="Elipse 22"/>
        <xdr:cNvSpPr/>
      </xdr:nvSpPr>
      <xdr:spPr>
        <a:xfrm>
          <a:off x="5391150" y="514349"/>
          <a:ext cx="1114426" cy="733425"/>
        </a:xfrm>
        <a:prstGeom prst="ellipse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171450</xdr:colOff>
      <xdr:row>3</xdr:row>
      <xdr:rowOff>47625</xdr:rowOff>
    </xdr:from>
    <xdr:to>
      <xdr:col>6</xdr:col>
      <xdr:colOff>419100</xdr:colOff>
      <xdr:row>4</xdr:row>
      <xdr:rowOff>57150</xdr:rowOff>
    </xdr:to>
    <xdr:sp macro="" textlink="">
      <xdr:nvSpPr>
        <xdr:cNvPr id="33" name="Multiplicar 32"/>
        <xdr:cNvSpPr/>
      </xdr:nvSpPr>
      <xdr:spPr>
        <a:xfrm>
          <a:off x="3000375" y="619125"/>
          <a:ext cx="247650" cy="200025"/>
        </a:xfrm>
        <a:prstGeom prst="mathMultiply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619125</xdr:colOff>
      <xdr:row>7</xdr:row>
      <xdr:rowOff>9525</xdr:rowOff>
    </xdr:from>
    <xdr:to>
      <xdr:col>12</xdr:col>
      <xdr:colOff>104774</xdr:colOff>
      <xdr:row>8</xdr:row>
      <xdr:rowOff>152400</xdr:rowOff>
    </xdr:to>
    <xdr:sp macro="" textlink="">
      <xdr:nvSpPr>
        <xdr:cNvPr id="39" name="Divisão 38"/>
        <xdr:cNvSpPr/>
      </xdr:nvSpPr>
      <xdr:spPr>
        <a:xfrm>
          <a:off x="4848225" y="1343025"/>
          <a:ext cx="304799" cy="333375"/>
        </a:xfrm>
        <a:prstGeom prst="mathDivid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28575</xdr:colOff>
      <xdr:row>6</xdr:row>
      <xdr:rowOff>133350</xdr:rowOff>
    </xdr:from>
    <xdr:to>
      <xdr:col>15</xdr:col>
      <xdr:colOff>180975</xdr:colOff>
      <xdr:row>8</xdr:row>
      <xdr:rowOff>19050</xdr:rowOff>
    </xdr:to>
    <xdr:cxnSp macro="">
      <xdr:nvCxnSpPr>
        <xdr:cNvPr id="40" name="Conector de seta reta 39"/>
        <xdr:cNvCxnSpPr/>
      </xdr:nvCxnSpPr>
      <xdr:spPr>
        <a:xfrm>
          <a:off x="6600825" y="1276350"/>
          <a:ext cx="152400" cy="266700"/>
        </a:xfrm>
        <a:prstGeom prst="straightConnector1">
          <a:avLst/>
        </a:prstGeom>
        <a:ln>
          <a:prstDash val="sysDash"/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381000</xdr:colOff>
      <xdr:row>6</xdr:row>
      <xdr:rowOff>19048</xdr:rowOff>
    </xdr:from>
    <xdr:to>
      <xdr:col>10</xdr:col>
      <xdr:colOff>447679</xdr:colOff>
      <xdr:row>8</xdr:row>
      <xdr:rowOff>95250</xdr:rowOff>
    </xdr:to>
    <xdr:cxnSp macro="">
      <xdr:nvCxnSpPr>
        <xdr:cNvPr id="44" name="Conector angulado 43"/>
        <xdr:cNvCxnSpPr/>
      </xdr:nvCxnSpPr>
      <xdr:spPr>
        <a:xfrm rot="10800000" flipV="1">
          <a:off x="3819525" y="1162048"/>
          <a:ext cx="857254" cy="457202"/>
        </a:xfrm>
        <a:prstGeom prst="bentConnector3">
          <a:avLst>
            <a:gd name="adj1" fmla="val 2222"/>
          </a:avLst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76200</xdr:colOff>
      <xdr:row>10</xdr:row>
      <xdr:rowOff>0</xdr:rowOff>
    </xdr:from>
    <xdr:to>
      <xdr:col>16</xdr:col>
      <xdr:colOff>37494</xdr:colOff>
      <xdr:row>18</xdr:row>
      <xdr:rowOff>180762</xdr:rowOff>
    </xdr:to>
    <xdr:pic>
      <xdr:nvPicPr>
        <xdr:cNvPr id="63" name="Imagem 6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71725" y="1905000"/>
          <a:ext cx="4847619" cy="1704762"/>
        </a:xfrm>
        <a:prstGeom prst="rect">
          <a:avLst/>
        </a:prstGeom>
      </xdr:spPr>
    </xdr:pic>
    <xdr:clientData/>
  </xdr:twoCellAnchor>
  <xdr:twoCellAnchor>
    <xdr:from>
      <xdr:col>0</xdr:col>
      <xdr:colOff>1133475</xdr:colOff>
      <xdr:row>1</xdr:row>
      <xdr:rowOff>85725</xdr:rowOff>
    </xdr:from>
    <xdr:to>
      <xdr:col>16</xdr:col>
      <xdr:colOff>123825</xdr:colOff>
      <xdr:row>9</xdr:row>
      <xdr:rowOff>76200</xdr:rowOff>
    </xdr:to>
    <xdr:sp macro="" textlink="">
      <xdr:nvSpPr>
        <xdr:cNvPr id="56" name="Retângulo 55"/>
        <xdr:cNvSpPr/>
      </xdr:nvSpPr>
      <xdr:spPr>
        <a:xfrm>
          <a:off x="1133475" y="276225"/>
          <a:ext cx="6172200" cy="1514475"/>
        </a:xfrm>
        <a:prstGeom prst="rect">
          <a:avLst/>
        </a:prstGeom>
        <a:noFill/>
        <a:ln>
          <a:prstDash val="sysDot"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15</xdr:col>
      <xdr:colOff>38100</xdr:colOff>
      <xdr:row>1</xdr:row>
      <xdr:rowOff>114300</xdr:rowOff>
    </xdr:from>
    <xdr:to>
      <xdr:col>16</xdr:col>
      <xdr:colOff>57060</xdr:colOff>
      <xdr:row>2</xdr:row>
      <xdr:rowOff>171915</xdr:rowOff>
    </xdr:to>
    <xdr:pic>
      <xdr:nvPicPr>
        <xdr:cNvPr id="57" name="Imagem 5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10350" y="304800"/>
          <a:ext cx="628560" cy="248115"/>
        </a:xfrm>
        <a:prstGeom prst="rect">
          <a:avLst/>
        </a:prstGeom>
      </xdr:spPr>
    </xdr:pic>
    <xdr:clientData/>
  </xdr:twoCellAnchor>
  <xdr:twoCellAnchor>
    <xdr:from>
      <xdr:col>2</xdr:col>
      <xdr:colOff>247650</xdr:colOff>
      <xdr:row>7</xdr:row>
      <xdr:rowOff>9525</xdr:rowOff>
    </xdr:from>
    <xdr:to>
      <xdr:col>8</xdr:col>
      <xdr:colOff>28575</xdr:colOff>
      <xdr:row>12</xdr:row>
      <xdr:rowOff>28575</xdr:rowOff>
    </xdr:to>
    <xdr:cxnSp macro="">
      <xdr:nvCxnSpPr>
        <xdr:cNvPr id="58" name="Conector angulado 57"/>
        <xdr:cNvCxnSpPr/>
      </xdr:nvCxnSpPr>
      <xdr:spPr>
        <a:xfrm>
          <a:off x="1685925" y="1343025"/>
          <a:ext cx="2390775" cy="971550"/>
        </a:xfrm>
        <a:prstGeom prst="bentConnector3">
          <a:avLst>
            <a:gd name="adj1" fmla="val 598"/>
          </a:avLst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342900</xdr:colOff>
      <xdr:row>12</xdr:row>
      <xdr:rowOff>76200</xdr:rowOff>
    </xdr:from>
    <xdr:to>
      <xdr:col>6</xdr:col>
      <xdr:colOff>180975</xdr:colOff>
      <xdr:row>13</xdr:row>
      <xdr:rowOff>85725</xdr:rowOff>
    </xdr:to>
    <xdr:sp macro="" textlink="">
      <xdr:nvSpPr>
        <xdr:cNvPr id="64" name="Multiplicar 63"/>
        <xdr:cNvSpPr/>
      </xdr:nvSpPr>
      <xdr:spPr>
        <a:xfrm>
          <a:off x="2762250" y="2362200"/>
          <a:ext cx="247650" cy="200025"/>
        </a:xfrm>
        <a:prstGeom prst="mathMultiply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76200</xdr:colOff>
      <xdr:row>13</xdr:row>
      <xdr:rowOff>123825</xdr:rowOff>
    </xdr:from>
    <xdr:to>
      <xdr:col>7</xdr:col>
      <xdr:colOff>171281</xdr:colOff>
      <xdr:row>14</xdr:row>
      <xdr:rowOff>123801</xdr:rowOff>
    </xdr:to>
    <xdr:pic>
      <xdr:nvPicPr>
        <xdr:cNvPr id="67" name="Imagem 6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57425" y="2600325"/>
          <a:ext cx="1352381" cy="190476"/>
        </a:xfrm>
        <a:prstGeom prst="rect">
          <a:avLst/>
        </a:prstGeom>
      </xdr:spPr>
    </xdr:pic>
    <xdr:clientData/>
  </xdr:twoCellAnchor>
  <xdr:twoCellAnchor editAs="oneCell">
    <xdr:from>
      <xdr:col>4</xdr:col>
      <xdr:colOff>66675</xdr:colOff>
      <xdr:row>17</xdr:row>
      <xdr:rowOff>85725</xdr:rowOff>
    </xdr:from>
    <xdr:to>
      <xdr:col>7</xdr:col>
      <xdr:colOff>276056</xdr:colOff>
      <xdr:row>18</xdr:row>
      <xdr:rowOff>85701</xdr:rowOff>
    </xdr:to>
    <xdr:pic>
      <xdr:nvPicPr>
        <xdr:cNvPr id="68" name="Imagem 6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62200" y="3324225"/>
          <a:ext cx="1352381" cy="190476"/>
        </a:xfrm>
        <a:prstGeom prst="rect">
          <a:avLst/>
        </a:prstGeom>
      </xdr:spPr>
    </xdr:pic>
    <xdr:clientData/>
  </xdr:twoCellAnchor>
  <xdr:twoCellAnchor>
    <xdr:from>
      <xdr:col>6</xdr:col>
      <xdr:colOff>76200</xdr:colOff>
      <xdr:row>9</xdr:row>
      <xdr:rowOff>19050</xdr:rowOff>
    </xdr:from>
    <xdr:to>
      <xdr:col>6</xdr:col>
      <xdr:colOff>123826</xdr:colOff>
      <xdr:row>11</xdr:row>
      <xdr:rowOff>123825</xdr:rowOff>
    </xdr:to>
    <xdr:cxnSp macro="">
      <xdr:nvCxnSpPr>
        <xdr:cNvPr id="69" name="Conector de seta reta 68"/>
        <xdr:cNvCxnSpPr/>
      </xdr:nvCxnSpPr>
      <xdr:spPr>
        <a:xfrm flipH="1">
          <a:off x="2905125" y="1733550"/>
          <a:ext cx="47626" cy="485775"/>
        </a:xfrm>
        <a:prstGeom prst="straightConnector1">
          <a:avLst/>
        </a:prstGeom>
        <a:ln>
          <a:prstDash val="sysDash"/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10</xdr:row>
      <xdr:rowOff>152400</xdr:rowOff>
    </xdr:from>
    <xdr:to>
      <xdr:col>16</xdr:col>
      <xdr:colOff>104775</xdr:colOff>
      <xdr:row>18</xdr:row>
      <xdr:rowOff>142875</xdr:rowOff>
    </xdr:to>
    <xdr:sp macro="" textlink="">
      <xdr:nvSpPr>
        <xdr:cNvPr id="73" name="Retângulo 72"/>
        <xdr:cNvSpPr/>
      </xdr:nvSpPr>
      <xdr:spPr>
        <a:xfrm>
          <a:off x="1114425" y="2057400"/>
          <a:ext cx="6172200" cy="1514475"/>
        </a:xfrm>
        <a:prstGeom prst="rect">
          <a:avLst/>
        </a:prstGeom>
        <a:noFill/>
        <a:ln>
          <a:prstDash val="sysDot"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15</xdr:col>
      <xdr:colOff>95250</xdr:colOff>
      <xdr:row>11</xdr:row>
      <xdr:rowOff>19051</xdr:rowOff>
    </xdr:from>
    <xdr:to>
      <xdr:col>16</xdr:col>
      <xdr:colOff>38017</xdr:colOff>
      <xdr:row>11</xdr:row>
      <xdr:rowOff>161089</xdr:rowOff>
    </xdr:to>
    <xdr:pic>
      <xdr:nvPicPr>
        <xdr:cNvPr id="74" name="Imagem 7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67500" y="2114551"/>
          <a:ext cx="552367" cy="142038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1047750</xdr:colOff>
      <xdr:row>19</xdr:row>
      <xdr:rowOff>38101</xdr:rowOff>
    </xdr:from>
    <xdr:to>
      <xdr:col>16</xdr:col>
      <xdr:colOff>237329</xdr:colOff>
      <xdr:row>28</xdr:row>
      <xdr:rowOff>9315</xdr:rowOff>
    </xdr:to>
    <xdr:pic>
      <xdr:nvPicPr>
        <xdr:cNvPr id="75" name="Imagem 7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7750" y="3657601"/>
          <a:ext cx="6371429" cy="1685714"/>
        </a:xfrm>
        <a:prstGeom prst="rect">
          <a:avLst/>
        </a:prstGeom>
      </xdr:spPr>
    </xdr:pic>
    <xdr:clientData/>
  </xdr:twoCellAnchor>
  <xdr:twoCellAnchor>
    <xdr:from>
      <xdr:col>2</xdr:col>
      <xdr:colOff>152400</xdr:colOff>
      <xdr:row>7</xdr:row>
      <xdr:rowOff>152400</xdr:rowOff>
    </xdr:from>
    <xdr:to>
      <xdr:col>8</xdr:col>
      <xdr:colOff>57150</xdr:colOff>
      <xdr:row>20</xdr:row>
      <xdr:rowOff>180975</xdr:rowOff>
    </xdr:to>
    <xdr:cxnSp macro="">
      <xdr:nvCxnSpPr>
        <xdr:cNvPr id="82" name="Conector angulado 81"/>
        <xdr:cNvCxnSpPr/>
      </xdr:nvCxnSpPr>
      <xdr:spPr>
        <a:xfrm>
          <a:off x="1590675" y="1485900"/>
          <a:ext cx="2514600" cy="2505075"/>
        </a:xfrm>
        <a:prstGeom prst="bentConnector3">
          <a:avLst>
            <a:gd name="adj1" fmla="val 0"/>
          </a:avLst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123825</xdr:colOff>
      <xdr:row>18</xdr:row>
      <xdr:rowOff>104775</xdr:rowOff>
    </xdr:from>
    <xdr:to>
      <xdr:col>6</xdr:col>
      <xdr:colOff>142876</xdr:colOff>
      <xdr:row>20</xdr:row>
      <xdr:rowOff>123825</xdr:rowOff>
    </xdr:to>
    <xdr:cxnSp macro="">
      <xdr:nvCxnSpPr>
        <xdr:cNvPr id="86" name="Conector de seta reta 85"/>
        <xdr:cNvCxnSpPr/>
      </xdr:nvCxnSpPr>
      <xdr:spPr>
        <a:xfrm flipH="1">
          <a:off x="2952750" y="3533775"/>
          <a:ext cx="19051" cy="400050"/>
        </a:xfrm>
        <a:prstGeom prst="straightConnector1">
          <a:avLst/>
        </a:prstGeom>
        <a:ln>
          <a:prstDash val="sysDash"/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17</xdr:col>
      <xdr:colOff>386128</xdr:colOff>
      <xdr:row>19</xdr:row>
      <xdr:rowOff>76200</xdr:rowOff>
    </xdr:from>
    <xdr:to>
      <xdr:col>18</xdr:col>
      <xdr:colOff>399961</xdr:colOff>
      <xdr:row>20</xdr:row>
      <xdr:rowOff>104744</xdr:rowOff>
    </xdr:to>
    <xdr:pic>
      <xdr:nvPicPr>
        <xdr:cNvPr id="88" name="Imagem 8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77578" y="3695700"/>
          <a:ext cx="623433" cy="219044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508000</xdr:colOff>
      <xdr:row>20</xdr:row>
      <xdr:rowOff>0</xdr:rowOff>
    </xdr:from>
    <xdr:to>
      <xdr:col>16</xdr:col>
      <xdr:colOff>94071</xdr:colOff>
      <xdr:row>20</xdr:row>
      <xdr:rowOff>171429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28833" y="3810000"/>
          <a:ext cx="961905" cy="17142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428625</xdr:colOff>
      <xdr:row>12</xdr:row>
      <xdr:rowOff>142875</xdr:rowOff>
    </xdr:from>
    <xdr:to>
      <xdr:col>6</xdr:col>
      <xdr:colOff>400050</xdr:colOff>
      <xdr:row>28</xdr:row>
      <xdr:rowOff>171450</xdr:rowOff>
    </xdr:to>
    <xdr:pic>
      <xdr:nvPicPr>
        <xdr:cNvPr id="2" name="Imagem 1" descr="\\vm-grapia\home\RODRIBIA\PROJETOS\Capturar colorido.PNG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5" y="2714625"/>
          <a:ext cx="5181600" cy="3076575"/>
        </a:xfrm>
        <a:prstGeom prst="rect">
          <a:avLst/>
        </a:prstGeom>
        <a:noFill/>
        <a:ln w="19050">
          <a:solidFill>
            <a:schemeClr val="tx1"/>
          </a:solidFill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361950</xdr:colOff>
      <xdr:row>4</xdr:row>
      <xdr:rowOff>19050</xdr:rowOff>
    </xdr:from>
    <xdr:to>
      <xdr:col>13</xdr:col>
      <xdr:colOff>561975</xdr:colOff>
      <xdr:row>16</xdr:row>
      <xdr:rowOff>133350</xdr:rowOff>
    </xdr:to>
    <xdr:pic>
      <xdr:nvPicPr>
        <xdr:cNvPr id="2" name="Imagem 1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238750" y="781050"/>
          <a:ext cx="3248025" cy="2409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inf.ufes.br/~luciac/mn1/autovalores-autovetores.pdf" TargetMode="External"/><Relationship Id="rId2" Type="http://schemas.openxmlformats.org/officeDocument/2006/relationships/hyperlink" Target="https://www.maxwell.vrac.puc-rio.br/10385/10385_4.PDF" TargetMode="External"/><Relationship Id="rId1" Type="http://schemas.openxmlformats.org/officeDocument/2006/relationships/hyperlink" Target="http://cleberalmeida.webs.com/T51AVANCES_TEORICOS_BELDERRAIN.pdf" TargetMode="External"/><Relationship Id="rId5" Type="http://schemas.openxmlformats.org/officeDocument/2006/relationships/drawing" Target="../drawings/drawing8.xml"/><Relationship Id="rId4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FF00"/>
  </sheetPr>
  <dimension ref="B1:Q23"/>
  <sheetViews>
    <sheetView showGridLines="0" workbookViewId="0"/>
  </sheetViews>
  <sheetFormatPr defaultRowHeight="15" x14ac:dyDescent="0.25"/>
  <cols>
    <col min="1" max="1" width="0.85546875" customWidth="1"/>
  </cols>
  <sheetData>
    <row r="1" spans="2:17" ht="7.5" customHeight="1" thickBot="1" x14ac:dyDescent="0.3"/>
    <row r="2" spans="2:17" ht="52.5" customHeight="1" x14ac:dyDescent="0.25">
      <c r="B2" s="174" t="s">
        <v>250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6"/>
    </row>
    <row r="3" spans="2:17" ht="4.5" customHeight="1" x14ac:dyDescent="0.25">
      <c r="B3" s="118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73"/>
    </row>
    <row r="4" spans="2:17" x14ac:dyDescent="0.25">
      <c r="B4" s="126" t="s">
        <v>260</v>
      </c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73"/>
    </row>
    <row r="5" spans="2:17" ht="6" customHeight="1" thickBot="1" x14ac:dyDescent="0.3">
      <c r="B5" s="118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73"/>
    </row>
    <row r="6" spans="2:17" ht="21.75" thickBot="1" x14ac:dyDescent="0.4">
      <c r="B6" s="180" t="s">
        <v>246</v>
      </c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1"/>
      <c r="P6" s="181"/>
      <c r="Q6" s="182"/>
    </row>
    <row r="7" spans="2:17" ht="18.75" x14ac:dyDescent="0.3">
      <c r="B7" s="177" t="s">
        <v>247</v>
      </c>
      <c r="C7" s="178"/>
      <c r="D7" s="178"/>
      <c r="E7" s="179"/>
      <c r="F7" s="177" t="s">
        <v>248</v>
      </c>
      <c r="G7" s="178"/>
      <c r="H7" s="178"/>
      <c r="I7" s="179"/>
      <c r="J7" s="177" t="s">
        <v>249</v>
      </c>
      <c r="K7" s="178"/>
      <c r="L7" s="178"/>
      <c r="M7" s="179"/>
      <c r="N7" s="177" t="s">
        <v>251</v>
      </c>
      <c r="O7" s="178"/>
      <c r="P7" s="178"/>
      <c r="Q7" s="179"/>
    </row>
    <row r="8" spans="2:17" x14ac:dyDescent="0.25">
      <c r="B8" s="120"/>
      <c r="C8" s="121"/>
      <c r="D8" s="121"/>
      <c r="E8" s="122"/>
      <c r="F8" s="118"/>
      <c r="G8" s="47"/>
      <c r="H8" s="47"/>
      <c r="I8" s="73"/>
      <c r="J8" s="118"/>
      <c r="K8" s="47"/>
      <c r="L8" s="47"/>
      <c r="M8" s="73"/>
      <c r="N8" s="118"/>
      <c r="O8" s="47"/>
      <c r="P8" s="47"/>
      <c r="Q8" s="73"/>
    </row>
    <row r="9" spans="2:17" x14ac:dyDescent="0.25">
      <c r="B9" s="120"/>
      <c r="C9" s="121"/>
      <c r="D9" s="121"/>
      <c r="E9" s="122"/>
      <c r="F9" s="118"/>
      <c r="G9" s="47"/>
      <c r="H9" s="47"/>
      <c r="I9" s="73"/>
      <c r="J9" s="118"/>
      <c r="K9" s="47"/>
      <c r="L9" s="47"/>
      <c r="M9" s="73"/>
      <c r="N9" s="118"/>
      <c r="O9" s="47"/>
      <c r="P9" s="47"/>
      <c r="Q9" s="73"/>
    </row>
    <row r="10" spans="2:17" x14ac:dyDescent="0.25">
      <c r="B10" s="120"/>
      <c r="C10" s="121"/>
      <c r="D10" s="121"/>
      <c r="E10" s="122"/>
      <c r="F10" s="118"/>
      <c r="G10" s="47"/>
      <c r="H10" s="47"/>
      <c r="I10" s="73"/>
      <c r="J10" s="118"/>
      <c r="K10" s="47"/>
      <c r="L10" s="47"/>
      <c r="M10" s="73"/>
      <c r="N10" s="118"/>
      <c r="O10" s="47"/>
      <c r="P10" s="47"/>
      <c r="Q10" s="73"/>
    </row>
    <row r="11" spans="2:17" x14ac:dyDescent="0.25">
      <c r="B11" s="120"/>
      <c r="C11" s="121"/>
      <c r="D11" s="121"/>
      <c r="E11" s="122"/>
      <c r="F11" s="118"/>
      <c r="G11" s="47"/>
      <c r="H11" s="47"/>
      <c r="I11" s="73"/>
      <c r="J11" s="118"/>
      <c r="K11" s="47"/>
      <c r="L11" s="47"/>
      <c r="M11" s="73"/>
      <c r="N11" s="118"/>
      <c r="O11" s="47"/>
      <c r="P11" s="47"/>
      <c r="Q11" s="73"/>
    </row>
    <row r="12" spans="2:17" x14ac:dyDescent="0.25">
      <c r="B12" s="120"/>
      <c r="C12" s="121"/>
      <c r="D12" s="121"/>
      <c r="E12" s="122"/>
      <c r="F12" s="118"/>
      <c r="G12" s="47"/>
      <c r="H12" s="47"/>
      <c r="I12" s="73"/>
      <c r="J12" s="118"/>
      <c r="K12" s="47"/>
      <c r="L12" s="47"/>
      <c r="M12" s="73"/>
      <c r="N12" s="118"/>
      <c r="O12" s="47"/>
      <c r="P12" s="47"/>
      <c r="Q12" s="73"/>
    </row>
    <row r="13" spans="2:17" x14ac:dyDescent="0.25">
      <c r="B13" s="120"/>
      <c r="C13" s="121"/>
      <c r="D13" s="121"/>
      <c r="E13" s="122"/>
      <c r="F13" s="118"/>
      <c r="G13" s="47"/>
      <c r="H13" s="47"/>
      <c r="I13" s="73"/>
      <c r="J13" s="118"/>
      <c r="K13" s="47"/>
      <c r="L13" s="47"/>
      <c r="M13" s="73"/>
      <c r="N13" s="118"/>
      <c r="O13" s="47"/>
      <c r="P13" s="47"/>
      <c r="Q13" s="73"/>
    </row>
    <row r="14" spans="2:17" x14ac:dyDescent="0.25">
      <c r="B14" s="120"/>
      <c r="C14" s="121"/>
      <c r="D14" s="121"/>
      <c r="E14" s="122"/>
      <c r="F14" s="118"/>
      <c r="G14" s="47"/>
      <c r="H14" s="47"/>
      <c r="I14" s="73"/>
      <c r="J14" s="118"/>
      <c r="K14" s="47"/>
      <c r="L14" s="47"/>
      <c r="M14" s="73"/>
      <c r="N14" s="118"/>
      <c r="O14" s="47"/>
      <c r="P14" s="47"/>
      <c r="Q14" s="73"/>
    </row>
    <row r="15" spans="2:17" x14ac:dyDescent="0.25">
      <c r="B15" s="120"/>
      <c r="C15" s="121"/>
      <c r="D15" s="121"/>
      <c r="E15" s="122"/>
      <c r="F15" s="118"/>
      <c r="G15" s="47"/>
      <c r="H15" s="47"/>
      <c r="I15" s="73"/>
      <c r="J15" s="118"/>
      <c r="K15" s="47"/>
      <c r="L15" s="47"/>
      <c r="M15" s="73"/>
      <c r="N15" s="118"/>
      <c r="O15" s="47"/>
      <c r="P15" s="47"/>
      <c r="Q15" s="73"/>
    </row>
    <row r="16" spans="2:17" x14ac:dyDescent="0.25">
      <c r="B16" s="120"/>
      <c r="C16" s="121"/>
      <c r="D16" s="121"/>
      <c r="E16" s="122"/>
      <c r="F16" s="118"/>
      <c r="G16" s="47"/>
      <c r="H16" s="47"/>
      <c r="I16" s="73"/>
      <c r="J16" s="118"/>
      <c r="K16" s="47"/>
      <c r="L16" s="47"/>
      <c r="M16" s="73"/>
      <c r="N16" s="118"/>
      <c r="O16" s="47"/>
      <c r="P16" s="47"/>
      <c r="Q16" s="73"/>
    </row>
    <row r="17" spans="2:17" x14ac:dyDescent="0.25">
      <c r="B17" s="120"/>
      <c r="C17" s="121"/>
      <c r="D17" s="121"/>
      <c r="E17" s="122"/>
      <c r="F17" s="118"/>
      <c r="G17" s="47"/>
      <c r="H17" s="47"/>
      <c r="I17" s="73"/>
      <c r="J17" s="118"/>
      <c r="K17" s="47"/>
      <c r="L17" s="47"/>
      <c r="M17" s="73"/>
      <c r="N17" s="118"/>
      <c r="O17" s="47"/>
      <c r="P17" s="47"/>
      <c r="Q17" s="73"/>
    </row>
    <row r="18" spans="2:17" x14ac:dyDescent="0.25">
      <c r="B18" s="120"/>
      <c r="C18" s="121"/>
      <c r="D18" s="121"/>
      <c r="E18" s="122"/>
      <c r="F18" s="118"/>
      <c r="G18" s="47"/>
      <c r="H18" s="47"/>
      <c r="I18" s="73"/>
      <c r="J18" s="118"/>
      <c r="K18" s="47"/>
      <c r="L18" s="47"/>
      <c r="M18" s="73"/>
      <c r="N18" s="118"/>
      <c r="O18" s="47"/>
      <c r="P18" s="47"/>
      <c r="Q18" s="73"/>
    </row>
    <row r="19" spans="2:17" x14ac:dyDescent="0.25">
      <c r="B19" s="120"/>
      <c r="C19" s="121"/>
      <c r="D19" s="121"/>
      <c r="E19" s="122"/>
      <c r="F19" s="118"/>
      <c r="G19" s="47"/>
      <c r="H19" s="47"/>
      <c r="I19" s="73"/>
      <c r="J19" s="118"/>
      <c r="K19" s="47"/>
      <c r="L19" s="47"/>
      <c r="M19" s="73"/>
      <c r="N19" s="118"/>
      <c r="O19" s="47"/>
      <c r="P19" s="47"/>
      <c r="Q19" s="73"/>
    </row>
    <row r="20" spans="2:17" x14ac:dyDescent="0.25">
      <c r="B20" s="120"/>
      <c r="C20" s="121"/>
      <c r="D20" s="121"/>
      <c r="E20" s="122"/>
      <c r="F20" s="118"/>
      <c r="G20" s="47"/>
      <c r="H20" s="47"/>
      <c r="I20" s="73"/>
      <c r="J20" s="118"/>
      <c r="K20" s="47"/>
      <c r="L20" s="47"/>
      <c r="M20" s="73"/>
      <c r="N20" s="118"/>
      <c r="O20" s="47"/>
      <c r="P20" s="47"/>
      <c r="Q20" s="73"/>
    </row>
    <row r="21" spans="2:17" x14ac:dyDescent="0.25">
      <c r="B21" s="120"/>
      <c r="C21" s="121"/>
      <c r="D21" s="121"/>
      <c r="E21" s="122"/>
      <c r="F21" s="118"/>
      <c r="G21" s="47"/>
      <c r="H21" s="47"/>
      <c r="I21" s="73"/>
      <c r="J21" s="118"/>
      <c r="K21" s="47"/>
      <c r="L21" s="47"/>
      <c r="M21" s="73"/>
      <c r="N21" s="118"/>
      <c r="O21" s="47"/>
      <c r="P21" s="47"/>
      <c r="Q21" s="73"/>
    </row>
    <row r="22" spans="2:17" x14ac:dyDescent="0.25">
      <c r="B22" s="120"/>
      <c r="C22" s="121"/>
      <c r="D22" s="121"/>
      <c r="E22" s="122"/>
      <c r="F22" s="118"/>
      <c r="G22" s="47"/>
      <c r="H22" s="47"/>
      <c r="I22" s="73"/>
      <c r="J22" s="118"/>
      <c r="K22" s="47"/>
      <c r="L22" s="47"/>
      <c r="M22" s="73"/>
      <c r="N22" s="118"/>
      <c r="O22" s="47"/>
      <c r="P22" s="47"/>
      <c r="Q22" s="73"/>
    </row>
    <row r="23" spans="2:17" ht="15.75" thickBot="1" x14ac:dyDescent="0.3">
      <c r="B23" s="123"/>
      <c r="C23" s="124"/>
      <c r="D23" s="124"/>
      <c r="E23" s="125"/>
      <c r="F23" s="119"/>
      <c r="G23" s="74"/>
      <c r="H23" s="74"/>
      <c r="I23" s="75"/>
      <c r="J23" s="119"/>
      <c r="K23" s="74"/>
      <c r="L23" s="74"/>
      <c r="M23" s="75"/>
      <c r="N23" s="119"/>
      <c r="O23" s="74"/>
      <c r="P23" s="74"/>
      <c r="Q23" s="75"/>
    </row>
  </sheetData>
  <mergeCells count="6">
    <mergeCell ref="B2:Q2"/>
    <mergeCell ref="N7:Q7"/>
    <mergeCell ref="J7:M7"/>
    <mergeCell ref="F7:I7"/>
    <mergeCell ref="B7:E7"/>
    <mergeCell ref="B6:Q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9" tint="-0.249977111117893"/>
  </sheetPr>
  <dimension ref="B1:H20"/>
  <sheetViews>
    <sheetView showGridLines="0" workbookViewId="0">
      <selection activeCell="E14" sqref="E14"/>
    </sheetView>
  </sheetViews>
  <sheetFormatPr defaultRowHeight="15" x14ac:dyDescent="0.25"/>
  <cols>
    <col min="1" max="1" width="1.140625" customWidth="1"/>
    <col min="2" max="2" width="11.42578125" customWidth="1"/>
    <col min="3" max="3" width="36.7109375" customWidth="1"/>
    <col min="4" max="4" width="16.28515625" customWidth="1"/>
    <col min="5" max="5" width="19.85546875" customWidth="1"/>
    <col min="6" max="6" width="1.28515625" customWidth="1"/>
    <col min="7" max="7" width="2" bestFit="1" customWidth="1"/>
    <col min="8" max="8" width="48.7109375" style="5" customWidth="1"/>
  </cols>
  <sheetData>
    <row r="1" spans="2:8" ht="3.75" customHeight="1" thickBot="1" x14ac:dyDescent="0.3"/>
    <row r="2" spans="2:8" ht="28.5" customHeight="1" thickBot="1" x14ac:dyDescent="0.3">
      <c r="B2" s="183" t="s">
        <v>129</v>
      </c>
      <c r="C2" s="184"/>
      <c r="D2" s="184"/>
      <c r="E2" s="185"/>
    </row>
    <row r="3" spans="2:8" ht="3.75" customHeight="1" thickBot="1" x14ac:dyDescent="0.3">
      <c r="B3" s="69"/>
      <c r="C3" s="69"/>
      <c r="D3" s="69"/>
      <c r="E3" s="69"/>
    </row>
    <row r="4" spans="2:8" ht="28.5" customHeight="1" x14ac:dyDescent="0.25">
      <c r="B4" s="70" t="s">
        <v>156</v>
      </c>
      <c r="C4" s="71" t="s">
        <v>157</v>
      </c>
      <c r="D4" s="72" t="s">
        <v>128</v>
      </c>
    </row>
    <row r="5" spans="2:8" ht="15.75" x14ac:dyDescent="0.25">
      <c r="B5" s="78" t="s">
        <v>104</v>
      </c>
      <c r="C5" s="79" t="s">
        <v>148</v>
      </c>
      <c r="D5" s="80">
        <v>5</v>
      </c>
      <c r="H5"/>
    </row>
    <row r="6" spans="2:8" ht="15.75" customHeight="1" x14ac:dyDescent="0.25">
      <c r="B6" s="78" t="s">
        <v>104</v>
      </c>
      <c r="C6" s="79" t="s">
        <v>149</v>
      </c>
      <c r="D6" s="80">
        <v>9</v>
      </c>
      <c r="H6"/>
    </row>
    <row r="7" spans="2:8" ht="15.75" x14ac:dyDescent="0.25">
      <c r="B7" s="78" t="s">
        <v>2</v>
      </c>
      <c r="C7" s="79" t="s">
        <v>114</v>
      </c>
      <c r="D7" s="80">
        <v>40</v>
      </c>
      <c r="H7"/>
    </row>
    <row r="8" spans="2:8" ht="15" customHeight="1" x14ac:dyDescent="0.25">
      <c r="B8" s="78" t="s">
        <v>12</v>
      </c>
      <c r="C8" s="79" t="s">
        <v>115</v>
      </c>
      <c r="D8" s="80">
        <v>40</v>
      </c>
      <c r="H8"/>
    </row>
    <row r="9" spans="2:8" ht="15.75" x14ac:dyDescent="0.25">
      <c r="B9" s="78" t="s">
        <v>11</v>
      </c>
      <c r="C9" s="79" t="s">
        <v>116</v>
      </c>
      <c r="D9" s="80">
        <v>40</v>
      </c>
      <c r="H9"/>
    </row>
    <row r="10" spans="2:8" ht="15" customHeight="1" x14ac:dyDescent="0.25">
      <c r="B10" s="78" t="s">
        <v>13</v>
      </c>
      <c r="C10" s="79" t="s">
        <v>117</v>
      </c>
      <c r="D10" s="80">
        <v>50</v>
      </c>
      <c r="H10"/>
    </row>
    <row r="11" spans="2:8" ht="15.75" x14ac:dyDescent="0.25">
      <c r="B11" s="78" t="s">
        <v>14</v>
      </c>
      <c r="C11" s="79" t="s">
        <v>118</v>
      </c>
      <c r="D11" s="80">
        <v>90</v>
      </c>
      <c r="H11"/>
    </row>
    <row r="12" spans="2:8" ht="15.75" customHeight="1" x14ac:dyDescent="0.25">
      <c r="B12" s="78" t="s">
        <v>15</v>
      </c>
      <c r="C12" s="79" t="s">
        <v>119</v>
      </c>
      <c r="D12" s="80">
        <v>10</v>
      </c>
      <c r="H12"/>
    </row>
    <row r="13" spans="2:8" ht="16.5" thickBot="1" x14ac:dyDescent="0.3">
      <c r="B13" s="128" t="s">
        <v>9</v>
      </c>
      <c r="C13" s="129" t="s">
        <v>120</v>
      </c>
      <c r="D13" s="130">
        <v>50</v>
      </c>
      <c r="H13"/>
    </row>
    <row r="14" spans="2:8" ht="31.5" x14ac:dyDescent="0.25">
      <c r="B14" s="190" t="s">
        <v>253</v>
      </c>
      <c r="C14" s="191"/>
      <c r="D14" s="72" t="s">
        <v>252</v>
      </c>
      <c r="H14"/>
    </row>
    <row r="15" spans="2:8" ht="15.75" x14ac:dyDescent="0.25">
      <c r="B15" s="186" t="s">
        <v>254</v>
      </c>
      <c r="C15" s="187"/>
      <c r="D15" s="80">
        <v>7</v>
      </c>
      <c r="H15"/>
    </row>
    <row r="16" spans="2:8" ht="15.75" x14ac:dyDescent="0.25">
      <c r="B16" s="186" t="s">
        <v>255</v>
      </c>
      <c r="C16" s="187"/>
      <c r="D16" s="80">
        <v>8</v>
      </c>
    </row>
    <row r="17" spans="2:4" ht="15.75" x14ac:dyDescent="0.25">
      <c r="B17" s="186" t="s">
        <v>256</v>
      </c>
      <c r="C17" s="187"/>
      <c r="D17" s="80">
        <v>8</v>
      </c>
    </row>
    <row r="18" spans="2:4" ht="15.75" x14ac:dyDescent="0.25">
      <c r="B18" s="186" t="s">
        <v>257</v>
      </c>
      <c r="C18" s="187"/>
      <c r="D18" s="80">
        <v>4</v>
      </c>
    </row>
    <row r="19" spans="2:4" ht="15.75" x14ac:dyDescent="0.25">
      <c r="B19" s="186" t="s">
        <v>274</v>
      </c>
      <c r="C19" s="187"/>
      <c r="D19" s="80">
        <v>3</v>
      </c>
    </row>
    <row r="20" spans="2:4" ht="16.5" thickBot="1" x14ac:dyDescent="0.3">
      <c r="B20" s="188" t="s">
        <v>258</v>
      </c>
      <c r="C20" s="189"/>
      <c r="D20" s="131">
        <v>9</v>
      </c>
    </row>
  </sheetData>
  <mergeCells count="8">
    <mergeCell ref="B2:E2"/>
    <mergeCell ref="B19:C19"/>
    <mergeCell ref="B20:C20"/>
    <mergeCell ref="B14:C14"/>
    <mergeCell ref="B15:C15"/>
    <mergeCell ref="B16:C16"/>
    <mergeCell ref="B17:C17"/>
    <mergeCell ref="B18:C18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B1:N19"/>
  <sheetViews>
    <sheetView showGridLines="0" workbookViewId="0"/>
  </sheetViews>
  <sheetFormatPr defaultRowHeight="12.75" x14ac:dyDescent="0.2"/>
  <cols>
    <col min="1" max="1" width="1.5703125" style="103" customWidth="1"/>
    <col min="2" max="2" width="34.7109375" style="103" bestFit="1" customWidth="1"/>
    <col min="3" max="14" width="7.140625" style="103" customWidth="1"/>
    <col min="15" max="16384" width="9.140625" style="103"/>
  </cols>
  <sheetData>
    <row r="1" spans="2:14" ht="7.5" customHeight="1" thickBot="1" x14ac:dyDescent="0.25"/>
    <row r="2" spans="2:14" ht="29.25" customHeight="1" thickBot="1" x14ac:dyDescent="0.25">
      <c r="B2" s="183" t="s">
        <v>220</v>
      </c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184"/>
      <c r="N2" s="185"/>
    </row>
    <row r="3" spans="2:14" ht="15.75" customHeight="1" thickBot="1" x14ac:dyDescent="0.3"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</row>
    <row r="4" spans="2:14" ht="15.75" customHeight="1" x14ac:dyDescent="0.2">
      <c r="B4" s="113" t="s">
        <v>221</v>
      </c>
      <c r="C4" s="193">
        <f>'Score ideia 2'!C49*100</f>
        <v>59.552750823486612</v>
      </c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4"/>
    </row>
    <row r="5" spans="2:14" ht="15.75" customHeight="1" thickBot="1" x14ac:dyDescent="0.25">
      <c r="B5" s="114" t="s">
        <v>241</v>
      </c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6"/>
    </row>
    <row r="6" spans="2:14" ht="8.25" customHeight="1" thickBot="1" x14ac:dyDescent="0.45">
      <c r="B6" s="105"/>
      <c r="C6" s="115"/>
      <c r="D6" s="115"/>
      <c r="E6" s="115"/>
      <c r="F6" s="116"/>
      <c r="G6" s="117"/>
      <c r="H6" s="117"/>
      <c r="I6" s="117"/>
      <c r="J6" s="115"/>
      <c r="K6" s="115"/>
      <c r="L6" s="115"/>
      <c r="M6" s="115"/>
      <c r="N6" s="115"/>
    </row>
    <row r="7" spans="2:14" ht="15.75" customHeight="1" x14ac:dyDescent="0.2">
      <c r="B7" s="111" t="s">
        <v>221</v>
      </c>
      <c r="C7" s="199">
        <f>F18+(((C4-C18)/(C19-C18))*(F19-F18))</f>
        <v>0.79776375411743305</v>
      </c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200"/>
    </row>
    <row r="8" spans="2:14" ht="15.75" customHeight="1" thickBot="1" x14ac:dyDescent="0.25">
      <c r="B8" s="112" t="s">
        <v>242</v>
      </c>
      <c r="C8" s="201"/>
      <c r="D8" s="201"/>
      <c r="E8" s="201"/>
      <c r="F8" s="201"/>
      <c r="G8" s="201"/>
      <c r="H8" s="201"/>
      <c r="I8" s="201"/>
      <c r="J8" s="201"/>
      <c r="K8" s="201"/>
      <c r="L8" s="201"/>
      <c r="M8" s="201"/>
      <c r="N8" s="202"/>
    </row>
    <row r="9" spans="2:14" ht="15.75" customHeight="1" x14ac:dyDescent="0.25">
      <c r="I9" s="106"/>
      <c r="J9" s="102"/>
      <c r="K9" s="102"/>
      <c r="L9" s="102"/>
      <c r="M9" s="102"/>
      <c r="N9" s="102"/>
    </row>
    <row r="11" spans="2:14" ht="15" x14ac:dyDescent="0.25">
      <c r="B11" s="107" t="s">
        <v>156</v>
      </c>
      <c r="C11" s="107" t="s">
        <v>202</v>
      </c>
      <c r="D11" s="107" t="s">
        <v>203</v>
      </c>
      <c r="E11" s="107" t="s">
        <v>2</v>
      </c>
      <c r="F11" s="107" t="s">
        <v>105</v>
      </c>
      <c r="G11" s="107" t="s">
        <v>106</v>
      </c>
      <c r="H11" s="107" t="s">
        <v>13</v>
      </c>
      <c r="I11" s="107" t="s">
        <v>14</v>
      </c>
      <c r="J11" s="107" t="s">
        <v>15</v>
      </c>
      <c r="K11" s="107" t="s">
        <v>155</v>
      </c>
      <c r="L11" s="107" t="s">
        <v>154</v>
      </c>
      <c r="M11" s="107" t="s">
        <v>9</v>
      </c>
    </row>
    <row r="12" spans="2:14" ht="15" x14ac:dyDescent="0.25">
      <c r="B12" s="107" t="s">
        <v>244</v>
      </c>
      <c r="C12" s="104">
        <f>'AHP PM'!B30</f>
        <v>7.0903375553839409E-2</v>
      </c>
      <c r="D12" s="104">
        <f>'AHP PM'!C30</f>
        <v>7.0903375553839409E-2</v>
      </c>
      <c r="E12" s="104">
        <f>'AHP PM'!D30</f>
        <v>0.11840685782826749</v>
      </c>
      <c r="F12" s="104">
        <f>'AHP PM'!E30</f>
        <v>0.11840685782826749</v>
      </c>
      <c r="G12" s="104">
        <f>'AHP PM'!F30</f>
        <v>0.11840685782826749</v>
      </c>
      <c r="H12" s="104">
        <f>'AHP PM'!G30</f>
        <v>0.11840685782826749</v>
      </c>
      <c r="I12" s="104">
        <f>'AHP PM'!H30</f>
        <v>2.4648217882818287E-2</v>
      </c>
      <c r="J12" s="104">
        <f>'AHP PM'!I30</f>
        <v>1.7895487012725256E-2</v>
      </c>
      <c r="K12" s="104">
        <f>'AHP PM'!J30</f>
        <v>0.11840685782826749</v>
      </c>
      <c r="L12" s="104">
        <f>'AHP PM'!K30</f>
        <v>0.198967036972622</v>
      </c>
      <c r="M12" s="104">
        <f>'AHP PM'!L30</f>
        <v>2.4648217882818287E-2</v>
      </c>
    </row>
    <row r="13" spans="2:14" ht="15" x14ac:dyDescent="0.25">
      <c r="B13" s="107" t="s">
        <v>222</v>
      </c>
      <c r="C13" s="104">
        <f>'Score ideia 2'!C40</f>
        <v>1</v>
      </c>
      <c r="D13" s="104">
        <f>'Score ideia 2'!D40</f>
        <v>1</v>
      </c>
      <c r="E13" s="104">
        <f>'Score ideia 2'!E40</f>
        <v>0.33043478260869563</v>
      </c>
      <c r="F13" s="104">
        <f>'Score ideia 2'!F40</f>
        <v>0.34054054054054061</v>
      </c>
      <c r="G13" s="104">
        <f>'Score ideia 2'!G40</f>
        <v>0.49166666666666675</v>
      </c>
      <c r="H13" s="104">
        <f>'Score ideia 2'!H40</f>
        <v>0.57647058823529429</v>
      </c>
      <c r="I13" s="104">
        <f>'Score ideia 2'!I40</f>
        <v>0.68888888888888888</v>
      </c>
      <c r="J13" s="104">
        <f>'Score ideia 2'!J40</f>
        <v>0.33913043478260863</v>
      </c>
      <c r="K13" s="104">
        <f>'Score ideia 2'!K40</f>
        <v>0.81666666666666665</v>
      </c>
      <c r="L13" s="104">
        <f>'Score ideia 2'!L40</f>
        <v>0.31764333227747865</v>
      </c>
      <c r="M13" s="104">
        <f>'Score ideia 2'!M40</f>
        <v>1</v>
      </c>
    </row>
    <row r="14" spans="2:14" x14ac:dyDescent="0.2">
      <c r="B14" s="108" t="s">
        <v>245</v>
      </c>
    </row>
    <row r="15" spans="2:14" x14ac:dyDescent="0.2">
      <c r="B15" s="110">
        <f>'AHP consistencia'!C18</f>
        <v>1.0591017339816322E-2</v>
      </c>
    </row>
    <row r="17" spans="2:8" ht="15" x14ac:dyDescent="0.2">
      <c r="B17" s="91" t="s">
        <v>239</v>
      </c>
      <c r="C17" s="197" t="s">
        <v>240</v>
      </c>
      <c r="D17" s="198"/>
      <c r="E17" s="198"/>
      <c r="F17" s="197" t="s">
        <v>243</v>
      </c>
      <c r="G17" s="197"/>
      <c r="H17" s="197"/>
    </row>
    <row r="18" spans="2:8" ht="15" x14ac:dyDescent="0.2">
      <c r="B18" s="109" t="s">
        <v>223</v>
      </c>
      <c r="C18" s="192">
        <v>100</v>
      </c>
      <c r="D18" s="192"/>
      <c r="E18" s="192"/>
      <c r="F18" s="198">
        <v>1</v>
      </c>
      <c r="G18" s="198"/>
      <c r="H18" s="198"/>
    </row>
    <row r="19" spans="2:8" ht="15" x14ac:dyDescent="0.2">
      <c r="B19" s="109" t="s">
        <v>224</v>
      </c>
      <c r="C19" s="192">
        <v>-100</v>
      </c>
      <c r="D19" s="192"/>
      <c r="E19" s="192"/>
      <c r="F19" s="198">
        <v>0</v>
      </c>
      <c r="G19" s="198"/>
      <c r="H19" s="198"/>
    </row>
  </sheetData>
  <mergeCells count="9">
    <mergeCell ref="B2:N2"/>
    <mergeCell ref="C18:E18"/>
    <mergeCell ref="C4:N5"/>
    <mergeCell ref="C19:E19"/>
    <mergeCell ref="C17:E17"/>
    <mergeCell ref="F18:H18"/>
    <mergeCell ref="F19:H19"/>
    <mergeCell ref="F17:H17"/>
    <mergeCell ref="C7:N8"/>
  </mergeCells>
  <conditionalFormatting sqref="C4:N5">
    <cfRule type="dataBar" priority="2">
      <dataBar>
        <cfvo type="num" val="-90"/>
        <cfvo type="num" val="90"/>
        <color rgb="FF00FF00"/>
      </dataBar>
    </cfRule>
  </conditionalFormatting>
  <conditionalFormatting sqref="C7:N8">
    <cfRule type="dataBar" priority="1">
      <dataBar>
        <cfvo type="num" val="0.1"/>
        <cfvo type="num" val="0.9"/>
        <color rgb="FFFFFF00"/>
      </dataBar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B1:H14"/>
  <sheetViews>
    <sheetView showGridLines="0" workbookViewId="0">
      <selection activeCell="H11" sqref="H11"/>
    </sheetView>
  </sheetViews>
  <sheetFormatPr defaultRowHeight="15" x14ac:dyDescent="0.25"/>
  <cols>
    <col min="1" max="1" width="1.140625" customWidth="1"/>
    <col min="2" max="2" width="11.42578125" customWidth="1"/>
    <col min="3" max="3" width="36.7109375" customWidth="1"/>
    <col min="4" max="4" width="16.28515625" customWidth="1"/>
    <col min="5" max="5" width="19.85546875" customWidth="1"/>
    <col min="6" max="6" width="1.28515625" customWidth="1"/>
    <col min="7" max="7" width="2" bestFit="1" customWidth="1"/>
    <col min="8" max="8" width="48.7109375" style="5" customWidth="1"/>
  </cols>
  <sheetData>
    <row r="1" spans="2:8" ht="3.75" customHeight="1" thickBot="1" x14ac:dyDescent="0.3"/>
    <row r="2" spans="2:8" ht="28.5" customHeight="1" thickBot="1" x14ac:dyDescent="0.3">
      <c r="B2" s="183" t="s">
        <v>259</v>
      </c>
      <c r="C2" s="184"/>
      <c r="D2" s="184"/>
      <c r="E2" s="185"/>
    </row>
    <row r="3" spans="2:8" ht="3.75" customHeight="1" x14ac:dyDescent="0.25">
      <c r="B3" s="69"/>
      <c r="C3" s="69"/>
      <c r="D3" s="69"/>
      <c r="E3" s="69"/>
    </row>
    <row r="4" spans="2:8" ht="28.5" customHeight="1" x14ac:dyDescent="0.25"/>
    <row r="5" spans="2:8" x14ac:dyDescent="0.25">
      <c r="H5"/>
    </row>
    <row r="6" spans="2:8" ht="15.75" customHeight="1" x14ac:dyDescent="0.25">
      <c r="H6"/>
    </row>
    <row r="7" spans="2:8" x14ac:dyDescent="0.25">
      <c r="H7"/>
    </row>
    <row r="8" spans="2:8" ht="15" customHeight="1" x14ac:dyDescent="0.25">
      <c r="H8"/>
    </row>
    <row r="9" spans="2:8" x14ac:dyDescent="0.25">
      <c r="H9"/>
    </row>
    <row r="10" spans="2:8" ht="15" customHeight="1" x14ac:dyDescent="0.25">
      <c r="H10"/>
    </row>
    <row r="11" spans="2:8" x14ac:dyDescent="0.25">
      <c r="H11"/>
    </row>
    <row r="12" spans="2:8" ht="15.75" customHeight="1" x14ac:dyDescent="0.25">
      <c r="H12"/>
    </row>
    <row r="13" spans="2:8" x14ac:dyDescent="0.25">
      <c r="H13"/>
    </row>
    <row r="14" spans="2:8" x14ac:dyDescent="0.25">
      <c r="H14"/>
    </row>
  </sheetData>
  <mergeCells count="1">
    <mergeCell ref="B2:E2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B1:AP79"/>
  <sheetViews>
    <sheetView showGridLines="0" workbookViewId="0">
      <selection activeCell="B2" sqref="B1:AP1048576"/>
    </sheetView>
  </sheetViews>
  <sheetFormatPr defaultRowHeight="15" x14ac:dyDescent="0.25"/>
  <cols>
    <col min="1" max="1" width="2.42578125" customWidth="1"/>
    <col min="2" max="36" width="4.28515625" style="5" customWidth="1"/>
    <col min="37" max="42" width="4.28515625" customWidth="1"/>
  </cols>
  <sheetData>
    <row r="1" spans="2:42" x14ac:dyDescent="0.25">
      <c r="B1" s="203" t="s">
        <v>59</v>
      </c>
      <c r="C1" s="203"/>
      <c r="D1" s="203"/>
      <c r="E1" s="203"/>
      <c r="F1" s="203"/>
      <c r="G1" s="203"/>
      <c r="H1" s="203"/>
      <c r="I1" s="203"/>
      <c r="J1" s="203"/>
      <c r="K1" s="203"/>
      <c r="N1" s="203" t="s">
        <v>60</v>
      </c>
      <c r="O1" s="203"/>
      <c r="P1" s="203"/>
      <c r="Q1" s="203"/>
      <c r="R1" s="203"/>
      <c r="S1" s="203"/>
      <c r="T1" s="203"/>
      <c r="U1" s="203"/>
      <c r="V1" s="203"/>
      <c r="W1" s="203"/>
    </row>
    <row r="2" spans="2:42" x14ac:dyDescent="0.25">
      <c r="B2" s="5" t="s">
        <v>0</v>
      </c>
      <c r="N2" s="5" t="s">
        <v>0</v>
      </c>
    </row>
    <row r="3" spans="2:42" x14ac:dyDescent="0.25">
      <c r="B3" s="5">
        <v>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N3" s="5">
        <v>0.75862068965517238</v>
      </c>
      <c r="O3" s="5">
        <v>0.20689655172413793</v>
      </c>
      <c r="P3" s="5">
        <v>3.4482758620689655E-2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Z3" s="5" t="s">
        <v>158</v>
      </c>
    </row>
    <row r="4" spans="2:42" x14ac:dyDescent="0.25">
      <c r="B4" s="5">
        <v>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N4" s="5">
        <v>1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Z4" s="5">
        <v>0.89655172413793105</v>
      </c>
      <c r="AA4" s="5">
        <v>6.8965517241379309E-2</v>
      </c>
      <c r="AB4" s="5">
        <v>3.4482758620689655E-2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L4" s="5"/>
      <c r="AM4" s="5" t="s">
        <v>164</v>
      </c>
      <c r="AN4" s="5" t="s">
        <v>165</v>
      </c>
      <c r="AO4" s="5" t="s">
        <v>166</v>
      </c>
      <c r="AP4" s="5" t="s">
        <v>167</v>
      </c>
    </row>
    <row r="5" spans="2:42" x14ac:dyDescent="0.25">
      <c r="B5" s="5">
        <v>0.75</v>
      </c>
      <c r="C5" s="5">
        <v>0.125</v>
      </c>
      <c r="D5" s="5">
        <v>0.125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N5" s="5">
        <v>0.625</v>
      </c>
      <c r="O5" s="5">
        <v>0.25</v>
      </c>
      <c r="P5" s="5">
        <v>0.125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Z5" s="5">
        <v>0</v>
      </c>
      <c r="AA5" s="5">
        <v>1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L5" s="5">
        <v>1</v>
      </c>
      <c r="AM5" s="5">
        <v>3.048780487804878E-2</v>
      </c>
      <c r="AN5" s="5">
        <v>6.4935064935064939E-3</v>
      </c>
      <c r="AO5" s="5">
        <v>5.9523809523809521E-3</v>
      </c>
      <c r="AP5" s="5">
        <v>6.41025641025641E-3</v>
      </c>
    </row>
    <row r="6" spans="2:42" x14ac:dyDescent="0.25">
      <c r="B6" s="5">
        <v>0.4</v>
      </c>
      <c r="C6" s="5">
        <v>0.33333333333333331</v>
      </c>
      <c r="D6" s="5">
        <v>0.2</v>
      </c>
      <c r="E6" s="5">
        <v>6.6666666666666666E-2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N6" s="5">
        <v>0.53333333333333333</v>
      </c>
      <c r="O6" s="5">
        <v>0.26666666666666666</v>
      </c>
      <c r="P6" s="5">
        <v>0.2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Z6" s="5">
        <v>0.875</v>
      </c>
      <c r="AA6" s="5">
        <v>0</v>
      </c>
      <c r="AB6" s="5">
        <v>0.125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L6" s="5">
        <v>2</v>
      </c>
      <c r="AM6" s="5">
        <v>0.43902439024390244</v>
      </c>
      <c r="AN6" s="5">
        <v>0.20779220779220781</v>
      </c>
      <c r="AO6" s="5">
        <v>0</v>
      </c>
      <c r="AP6" s="5">
        <v>0</v>
      </c>
    </row>
    <row r="7" spans="2:42" x14ac:dyDescent="0.25">
      <c r="B7" s="5">
        <v>0.3888888888888889</v>
      </c>
      <c r="C7" s="5">
        <v>0.44444444444444442</v>
      </c>
      <c r="D7" s="5">
        <v>0.16666666666666666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N7" s="5">
        <v>0.55555555555555558</v>
      </c>
      <c r="O7" s="5">
        <v>0.22222222222222221</v>
      </c>
      <c r="P7" s="5">
        <v>0.22222222222222221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Z7" s="5">
        <v>0.66666666666666663</v>
      </c>
      <c r="AA7" s="5">
        <v>0.2</v>
      </c>
      <c r="AB7" s="5">
        <v>0.13333333333333333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L7" s="5">
        <v>3</v>
      </c>
      <c r="AM7" s="5">
        <v>5.4878048780487805E-2</v>
      </c>
      <c r="AN7" s="5">
        <v>6.4935064935064929E-2</v>
      </c>
      <c r="AO7" s="5">
        <v>0.11904761904761904</v>
      </c>
      <c r="AP7" s="5">
        <v>7.6923076923076927E-2</v>
      </c>
    </row>
    <row r="8" spans="2:42" x14ac:dyDescent="0.25">
      <c r="B8" s="5">
        <v>0</v>
      </c>
      <c r="C8" s="5">
        <v>0.6</v>
      </c>
      <c r="D8" s="5">
        <v>0.4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N8" s="5">
        <v>0.6</v>
      </c>
      <c r="O8" s="5">
        <v>0.4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Z8" s="5">
        <v>0.83333333333333337</v>
      </c>
      <c r="AA8" s="5">
        <v>5.5555555555555552E-2</v>
      </c>
      <c r="AB8" s="5">
        <v>0.1111111111111111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L8" s="5">
        <v>4</v>
      </c>
      <c r="AM8" s="5">
        <v>0.29878048780487804</v>
      </c>
      <c r="AN8" s="5">
        <v>0.33766233766233766</v>
      </c>
      <c r="AO8" s="5">
        <v>0.36904761904761907</v>
      </c>
      <c r="AP8" s="5">
        <v>0.25</v>
      </c>
    </row>
    <row r="9" spans="2:42" x14ac:dyDescent="0.25"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s="5">
        <v>1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L9" s="5">
        <v>5</v>
      </c>
      <c r="AM9" s="5">
        <v>0.17682926829268292</v>
      </c>
      <c r="AN9" s="5">
        <v>0.38311688311688313</v>
      </c>
      <c r="AO9" s="5">
        <v>0.50595238095238093</v>
      </c>
      <c r="AP9" s="5">
        <v>0.66666666666666663</v>
      </c>
    </row>
    <row r="10" spans="2:42" x14ac:dyDescent="0.25"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</row>
    <row r="11" spans="2:42" x14ac:dyDescent="0.25">
      <c r="B11" s="5">
        <v>0</v>
      </c>
      <c r="C11" s="5">
        <v>1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N11" s="5">
        <v>1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</row>
    <row r="12" spans="2:42" x14ac:dyDescent="0.25"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 s="5">
        <v>1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</row>
    <row r="13" spans="2:42" x14ac:dyDescent="0.25">
      <c r="B13" s="5">
        <v>1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N13" s="5">
        <v>1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</row>
    <row r="14" spans="2:42" x14ac:dyDescent="0.25">
      <c r="Z14" s="5">
        <v>1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</row>
    <row r="15" spans="2:42" x14ac:dyDescent="0.25">
      <c r="B15" s="5" t="s">
        <v>1</v>
      </c>
      <c r="N15" s="5" t="s">
        <v>1</v>
      </c>
    </row>
    <row r="16" spans="2:42" x14ac:dyDescent="0.25"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 s="5" t="s">
        <v>159</v>
      </c>
    </row>
    <row r="17" spans="2:36" x14ac:dyDescent="0.25"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 s="5">
        <v>0.62068965517241381</v>
      </c>
      <c r="AA17" s="5">
        <v>0.27586206896551724</v>
      </c>
      <c r="AB17" s="5">
        <v>0.10344827586206896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</row>
    <row r="18" spans="2:36" x14ac:dyDescent="0.25"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 s="5">
        <v>0</v>
      </c>
      <c r="AA18" s="5">
        <v>0</v>
      </c>
      <c r="AB18" s="5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</row>
    <row r="19" spans="2:36" x14ac:dyDescent="0.25">
      <c r="B19" s="5">
        <v>0</v>
      </c>
      <c r="C19" s="5">
        <v>0</v>
      </c>
      <c r="D19" s="5">
        <v>0</v>
      </c>
      <c r="E19" s="5">
        <v>0</v>
      </c>
      <c r="F19" s="5">
        <v>1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N19" s="5">
        <v>0</v>
      </c>
      <c r="O19" s="5">
        <v>0</v>
      </c>
      <c r="P19" s="5">
        <v>1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 s="5">
        <v>0.5</v>
      </c>
      <c r="AA19" s="5">
        <v>0.375</v>
      </c>
      <c r="AB19" s="5">
        <v>0.125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</row>
    <row r="20" spans="2:36" x14ac:dyDescent="0.25">
      <c r="B20" s="5">
        <v>0</v>
      </c>
      <c r="C20" s="5">
        <v>0</v>
      </c>
      <c r="D20" s="5">
        <v>1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N20" s="5">
        <v>1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 s="5">
        <v>0.6</v>
      </c>
      <c r="AA20" s="5">
        <v>0.26666666666666666</v>
      </c>
      <c r="AB20" s="5">
        <v>0.13333333333333333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</row>
    <row r="21" spans="2:36" x14ac:dyDescent="0.25">
      <c r="B21" s="5">
        <v>0.66666666666666663</v>
      </c>
      <c r="C21" s="5">
        <v>0</v>
      </c>
      <c r="D21" s="5">
        <v>0.33333333333333331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N21" s="5">
        <v>0.66666666666666663</v>
      </c>
      <c r="O21" s="5">
        <v>0.33333333333333331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 s="5">
        <v>0.72222222222222221</v>
      </c>
      <c r="AA21" s="5">
        <v>0.27777777777777779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</row>
    <row r="22" spans="2:36" x14ac:dyDescent="0.25">
      <c r="B22" s="5">
        <v>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N22" s="5">
        <v>0</v>
      </c>
      <c r="O22" s="5">
        <v>1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 s="5">
        <v>0.8</v>
      </c>
      <c r="AA22" s="5">
        <v>0.2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</row>
    <row r="23" spans="2:36" x14ac:dyDescent="0.25">
      <c r="B23" s="5">
        <v>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N23" s="5">
        <v>0.66666666666666663</v>
      </c>
      <c r="O23" s="5">
        <v>0.33333333333333331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</row>
    <row r="24" spans="2:36" x14ac:dyDescent="0.25">
      <c r="B24" s="5">
        <v>0.29411764705882354</v>
      </c>
      <c r="C24" s="5">
        <v>0.41176470588235292</v>
      </c>
      <c r="D24" s="5">
        <v>0.23529411764705882</v>
      </c>
      <c r="E24" s="5">
        <v>5.8823529411764705E-2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N24" s="5">
        <v>0.52941176470588236</v>
      </c>
      <c r="O24" s="5">
        <v>0.23529411764705882</v>
      </c>
      <c r="P24" s="5">
        <v>0.11764705882352941</v>
      </c>
      <c r="Q24" s="5">
        <v>0.11764705882352941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</row>
    <row r="25" spans="2:36" x14ac:dyDescent="0.25">
      <c r="B25" s="5">
        <v>0.29411764705882354</v>
      </c>
      <c r="C25" s="5">
        <v>0.17647058823529413</v>
      </c>
      <c r="D25" s="5">
        <v>0.35294117647058826</v>
      </c>
      <c r="E25" s="5">
        <v>0.17647058823529413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N25" s="5">
        <v>0.29411764705882354</v>
      </c>
      <c r="O25" s="5">
        <v>0.58823529411764708</v>
      </c>
      <c r="P25" s="5">
        <v>5.8823529411764705E-2</v>
      </c>
      <c r="Q25" s="5">
        <v>5.8823529411764705E-2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 s="5">
        <v>1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</row>
    <row r="26" spans="2:36" x14ac:dyDescent="0.25">
      <c r="B26" s="5">
        <v>0.43333333333333335</v>
      </c>
      <c r="C26" s="5">
        <v>0.23333333333333334</v>
      </c>
      <c r="D26" s="5">
        <v>0.13333333333333333</v>
      </c>
      <c r="E26" s="5">
        <v>0.13333333333333333</v>
      </c>
      <c r="F26" s="5">
        <v>6.6666666666666666E-2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N26" s="5">
        <v>0.46666666666666667</v>
      </c>
      <c r="O26" s="5">
        <v>0.3</v>
      </c>
      <c r="P26" s="5">
        <v>0.13333333333333333</v>
      </c>
      <c r="Q26" s="5">
        <v>0</v>
      </c>
      <c r="R26" s="5">
        <v>3.3333333333333333E-2</v>
      </c>
      <c r="S26" s="5">
        <v>3.3333333333333333E-2</v>
      </c>
      <c r="T26" s="5">
        <v>3.3333333333333333E-2</v>
      </c>
      <c r="U26" s="5">
        <v>0</v>
      </c>
      <c r="V26" s="5">
        <v>0</v>
      </c>
      <c r="W26" s="5">
        <v>0</v>
      </c>
      <c r="X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</row>
    <row r="27" spans="2:36" x14ac:dyDescent="0.25">
      <c r="Z27" s="5">
        <v>1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</row>
    <row r="28" spans="2:36" x14ac:dyDescent="0.25">
      <c r="B28" s="5" t="s">
        <v>3</v>
      </c>
      <c r="N28" s="5" t="s">
        <v>3</v>
      </c>
    </row>
    <row r="29" spans="2:36" x14ac:dyDescent="0.25">
      <c r="B29" s="5">
        <v>7.1428571428571425E-2</v>
      </c>
      <c r="C29" s="5">
        <v>0.7142857142857143</v>
      </c>
      <c r="D29" s="5">
        <v>0.21428571428571427</v>
      </c>
      <c r="E29" s="5">
        <v>0</v>
      </c>
      <c r="N29" s="5">
        <v>0</v>
      </c>
      <c r="O29" s="5">
        <v>0.42857142857142855</v>
      </c>
      <c r="P29" s="5">
        <v>0.42857142857142855</v>
      </c>
      <c r="Q29" s="5">
        <v>0.14285714285714285</v>
      </c>
      <c r="Z29" s="5" t="s">
        <v>160</v>
      </c>
    </row>
    <row r="30" spans="2:36" x14ac:dyDescent="0.25">
      <c r="B30" s="5">
        <v>0</v>
      </c>
      <c r="C30" s="5">
        <v>0.54347826086956519</v>
      </c>
      <c r="D30" s="5">
        <v>0.39130434782608697</v>
      </c>
      <c r="E30" s="5">
        <v>6.5217391304347824E-2</v>
      </c>
      <c r="N30" s="5">
        <v>0</v>
      </c>
      <c r="O30" s="5">
        <v>0.28260869565217389</v>
      </c>
      <c r="P30" s="5">
        <v>0.2608695652173913</v>
      </c>
      <c r="Q30" s="5">
        <v>0.45652173913043476</v>
      </c>
      <c r="Z30" s="5">
        <v>0.44827586206896552</v>
      </c>
      <c r="AA30" s="5">
        <v>0.31034482758620691</v>
      </c>
      <c r="AB30" s="5">
        <v>0.2413793103448276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</row>
    <row r="31" spans="2:36" x14ac:dyDescent="0.25">
      <c r="B31" s="5">
        <v>0</v>
      </c>
      <c r="C31" s="5">
        <v>0.27777777777777779</v>
      </c>
      <c r="D31" s="5">
        <v>0.61111111111111116</v>
      </c>
      <c r="E31" s="5">
        <v>0.1111111111111111</v>
      </c>
      <c r="N31" s="5">
        <v>0</v>
      </c>
      <c r="O31" s="5">
        <v>0.22222222222222221</v>
      </c>
      <c r="P31" s="5">
        <v>0.3888888888888889</v>
      </c>
      <c r="Q31" s="5">
        <v>0.3888888888888889</v>
      </c>
      <c r="Z31" s="5">
        <v>0</v>
      </c>
      <c r="AA31" s="5">
        <v>1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</row>
    <row r="32" spans="2:36" x14ac:dyDescent="0.25">
      <c r="B32" s="5">
        <v>0</v>
      </c>
      <c r="C32" s="5">
        <v>0</v>
      </c>
      <c r="D32" s="5">
        <v>0</v>
      </c>
      <c r="E32" s="5">
        <v>0</v>
      </c>
      <c r="N32" s="5">
        <v>0</v>
      </c>
      <c r="O32" s="5">
        <v>0</v>
      </c>
      <c r="P32" s="5">
        <v>0</v>
      </c>
      <c r="Q32" s="5">
        <v>0</v>
      </c>
      <c r="Z32" s="5">
        <v>0.25</v>
      </c>
      <c r="AA32" s="5">
        <v>0.625</v>
      </c>
      <c r="AB32" s="5">
        <v>0.125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</row>
    <row r="33" spans="2:36" x14ac:dyDescent="0.25">
      <c r="Z33" s="5">
        <v>0.4</v>
      </c>
      <c r="AA33" s="5">
        <v>0.33333333333333331</v>
      </c>
      <c r="AB33" s="5">
        <v>0.13333333333333333</v>
      </c>
      <c r="AC33" s="5">
        <v>0.13333333333333333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</row>
    <row r="34" spans="2:36" x14ac:dyDescent="0.25">
      <c r="B34" s="5" t="s">
        <v>4</v>
      </c>
      <c r="N34" s="5" t="s">
        <v>4</v>
      </c>
      <c r="Z34" s="5">
        <v>0.44444444444444442</v>
      </c>
      <c r="AA34" s="5">
        <v>0.3888888888888889</v>
      </c>
      <c r="AB34" s="5">
        <v>0.1111111111111111</v>
      </c>
      <c r="AC34" s="5">
        <v>5.5555555555555552E-2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</row>
    <row r="35" spans="2:36" x14ac:dyDescent="0.25">
      <c r="B35" s="5">
        <v>0.1111111111111111</v>
      </c>
      <c r="C35" s="5">
        <v>0.22222222222222221</v>
      </c>
      <c r="D35" s="5">
        <v>0.66666666666666663</v>
      </c>
      <c r="E35" s="5">
        <v>0</v>
      </c>
      <c r="N35" s="5">
        <v>0</v>
      </c>
      <c r="O35" s="5">
        <v>0.22222222222222221</v>
      </c>
      <c r="P35" s="5">
        <v>0.55555555555555558</v>
      </c>
      <c r="Q35" s="5">
        <v>0.22222222222222221</v>
      </c>
      <c r="Z35" s="5">
        <v>0.8</v>
      </c>
      <c r="AA35" s="5">
        <v>0.2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</row>
    <row r="36" spans="2:36" x14ac:dyDescent="0.25">
      <c r="B36" s="5">
        <v>0</v>
      </c>
      <c r="C36" s="5">
        <v>0.56756756756756754</v>
      </c>
      <c r="D36" s="5">
        <v>0.3783783783783784</v>
      </c>
      <c r="E36" s="5">
        <v>5.4054054054054057E-2</v>
      </c>
      <c r="N36" s="5">
        <v>0</v>
      </c>
      <c r="O36" s="5">
        <v>0.27027027027027029</v>
      </c>
      <c r="P36" s="5">
        <v>0.24324324324324326</v>
      </c>
      <c r="Q36" s="5">
        <v>0.48648648648648651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</row>
    <row r="37" spans="2:36" x14ac:dyDescent="0.25">
      <c r="B37" s="5">
        <v>0</v>
      </c>
      <c r="C37" s="5">
        <v>0.23076923076923078</v>
      </c>
      <c r="D37" s="5">
        <v>0.57692307692307687</v>
      </c>
      <c r="E37" s="5">
        <v>0.19230769230769232</v>
      </c>
      <c r="N37" s="5">
        <v>0</v>
      </c>
      <c r="O37" s="5">
        <v>0.34615384615384615</v>
      </c>
      <c r="P37" s="5">
        <v>0.23076923076923078</v>
      </c>
      <c r="Q37" s="5">
        <v>0.42307692307692307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</row>
    <row r="38" spans="2:36" x14ac:dyDescent="0.25">
      <c r="B38" s="5">
        <v>0</v>
      </c>
      <c r="C38" s="5">
        <v>0</v>
      </c>
      <c r="D38" s="5">
        <v>0.66666666666666663</v>
      </c>
      <c r="E38" s="5">
        <v>0.33333333333333331</v>
      </c>
      <c r="N38" s="5">
        <v>0</v>
      </c>
      <c r="O38" s="5">
        <v>0.16666666666666666</v>
      </c>
      <c r="P38" s="5">
        <v>0.33333333333333331</v>
      </c>
      <c r="Q38" s="5">
        <v>0.5</v>
      </c>
      <c r="Z38" s="5">
        <v>1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</row>
    <row r="39" spans="2:36" x14ac:dyDescent="0.25"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</row>
    <row r="40" spans="2:36" x14ac:dyDescent="0.25">
      <c r="B40" s="5" t="s">
        <v>5</v>
      </c>
      <c r="N40" s="5" t="s">
        <v>5</v>
      </c>
      <c r="Z40" s="5">
        <v>1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</row>
    <row r="41" spans="2:36" x14ac:dyDescent="0.25">
      <c r="B41" s="5">
        <v>0.20833333333333334</v>
      </c>
      <c r="C41" s="5">
        <v>0.58333333333333337</v>
      </c>
      <c r="D41" s="5">
        <v>0.16666666666666666</v>
      </c>
      <c r="E41" s="5">
        <v>4.1666666666666664E-2</v>
      </c>
      <c r="N41" s="5">
        <v>0.125</v>
      </c>
      <c r="O41" s="5">
        <v>0.16666666666666666</v>
      </c>
      <c r="P41" s="5">
        <v>0.33333333333333331</v>
      </c>
      <c r="Q41" s="5">
        <v>0.375</v>
      </c>
    </row>
    <row r="42" spans="2:36" x14ac:dyDescent="0.25">
      <c r="B42" s="5">
        <v>4.1666666666666664E-2</v>
      </c>
      <c r="C42" s="5">
        <v>0.5625</v>
      </c>
      <c r="D42" s="5">
        <v>0.33333333333333331</v>
      </c>
      <c r="E42" s="5">
        <v>6.25E-2</v>
      </c>
      <c r="N42" s="5">
        <v>4.1666666666666664E-2</v>
      </c>
      <c r="O42" s="5">
        <v>0.125</v>
      </c>
      <c r="P42" s="5">
        <v>0.35416666666666669</v>
      </c>
      <c r="Q42" s="5">
        <v>0.47916666666666669</v>
      </c>
      <c r="Z42" s="5" t="s">
        <v>161</v>
      </c>
    </row>
    <row r="43" spans="2:36" x14ac:dyDescent="0.25">
      <c r="B43" s="5">
        <v>0</v>
      </c>
      <c r="C43" s="5">
        <v>0.2</v>
      </c>
      <c r="D43" s="5">
        <v>0.6</v>
      </c>
      <c r="E43" s="5">
        <v>0.2</v>
      </c>
      <c r="N43" s="5">
        <v>0</v>
      </c>
      <c r="O43" s="5">
        <v>0</v>
      </c>
      <c r="P43" s="5">
        <v>0.6</v>
      </c>
      <c r="Q43" s="5">
        <v>0.4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</row>
    <row r="44" spans="2:36" x14ac:dyDescent="0.25">
      <c r="B44" s="5">
        <v>0</v>
      </c>
      <c r="C44" s="5">
        <v>0</v>
      </c>
      <c r="D44" s="5">
        <v>0</v>
      </c>
      <c r="E44" s="5">
        <v>1</v>
      </c>
      <c r="N44" s="5">
        <v>0</v>
      </c>
      <c r="O44" s="5">
        <v>0</v>
      </c>
      <c r="P44" s="5">
        <v>1</v>
      </c>
      <c r="Q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</row>
    <row r="45" spans="2:36" x14ac:dyDescent="0.25"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</row>
    <row r="46" spans="2:36" x14ac:dyDescent="0.25">
      <c r="B46" s="5" t="s">
        <v>6</v>
      </c>
      <c r="N46" s="5" t="s">
        <v>6</v>
      </c>
      <c r="Z46" s="5">
        <v>0</v>
      </c>
      <c r="AA46" s="5">
        <v>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</row>
    <row r="47" spans="2:36" x14ac:dyDescent="0.25">
      <c r="B47" s="5">
        <v>1</v>
      </c>
      <c r="C47" s="5">
        <v>0</v>
      </c>
      <c r="D47" s="5">
        <v>0</v>
      </c>
      <c r="E47" s="5">
        <v>0</v>
      </c>
      <c r="F47" s="5">
        <v>0</v>
      </c>
      <c r="N47" s="5">
        <v>1</v>
      </c>
      <c r="O47" s="5">
        <v>0</v>
      </c>
      <c r="P47" s="5">
        <v>0</v>
      </c>
      <c r="Q47" s="5">
        <v>0</v>
      </c>
      <c r="R47" s="5">
        <v>0</v>
      </c>
      <c r="Z47" s="5">
        <v>1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</row>
    <row r="48" spans="2:36" x14ac:dyDescent="0.25">
      <c r="B48" s="5">
        <v>0.19047619047619047</v>
      </c>
      <c r="C48" s="5">
        <v>0.52380952380952384</v>
      </c>
      <c r="D48" s="5">
        <v>0.2857142857142857</v>
      </c>
      <c r="E48" s="5">
        <v>0</v>
      </c>
      <c r="F48" s="5">
        <v>0</v>
      </c>
      <c r="N48" s="5">
        <v>4.7619047619047616E-2</v>
      </c>
      <c r="O48" s="5">
        <v>0.5714285714285714</v>
      </c>
      <c r="P48" s="5">
        <v>0.38095238095238093</v>
      </c>
      <c r="Q48" s="5">
        <v>0</v>
      </c>
      <c r="R48" s="5">
        <v>0</v>
      </c>
      <c r="Z48" s="5">
        <v>0.66666666666666663</v>
      </c>
      <c r="AA48" s="5">
        <v>0.33333333333333331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</row>
    <row r="49" spans="2:36" x14ac:dyDescent="0.25">
      <c r="B49" s="5">
        <v>8.8235294117647065E-2</v>
      </c>
      <c r="C49" s="5">
        <v>0.67647058823529416</v>
      </c>
      <c r="D49" s="5">
        <v>0.20588235294117646</v>
      </c>
      <c r="E49" s="5">
        <v>0</v>
      </c>
      <c r="F49" s="5">
        <v>2.9411764705882353E-2</v>
      </c>
      <c r="N49" s="5">
        <v>0.17647058823529413</v>
      </c>
      <c r="O49" s="5">
        <v>0.61764705882352944</v>
      </c>
      <c r="P49" s="5">
        <v>0.20588235294117646</v>
      </c>
      <c r="Q49" s="5">
        <v>0</v>
      </c>
      <c r="R49" s="5">
        <v>0</v>
      </c>
      <c r="Z49" s="5">
        <v>0</v>
      </c>
      <c r="AA49" s="5">
        <v>1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</row>
    <row r="50" spans="2:36" x14ac:dyDescent="0.25">
      <c r="B50" s="5">
        <v>0.125</v>
      </c>
      <c r="C50" s="5">
        <v>0.75</v>
      </c>
      <c r="D50" s="5">
        <v>6.25E-2</v>
      </c>
      <c r="E50" s="5">
        <v>0</v>
      </c>
      <c r="F50" s="5">
        <v>6.25E-2</v>
      </c>
      <c r="N50" s="5">
        <v>0</v>
      </c>
      <c r="O50" s="5">
        <v>0.6875</v>
      </c>
      <c r="P50" s="5">
        <v>0.3125</v>
      </c>
      <c r="Q50" s="5">
        <v>0</v>
      </c>
      <c r="R50" s="5">
        <v>0</v>
      </c>
      <c r="Z50" s="5">
        <v>0.33333333333333331</v>
      </c>
      <c r="AA50" s="5">
        <v>0.33333333333333331</v>
      </c>
      <c r="AB50" s="5">
        <v>0.33333333333333331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</row>
    <row r="51" spans="2:36" x14ac:dyDescent="0.25">
      <c r="B51" s="5">
        <v>0</v>
      </c>
      <c r="C51" s="5">
        <v>0.66666666666666663</v>
      </c>
      <c r="D51" s="5">
        <v>0.16666666666666666</v>
      </c>
      <c r="E51" s="5">
        <v>0</v>
      </c>
      <c r="F51" s="5">
        <v>0.16666666666666666</v>
      </c>
      <c r="N51" s="5">
        <v>0.33333333333333331</v>
      </c>
      <c r="O51" s="5">
        <v>0.16666666666666666</v>
      </c>
      <c r="P51" s="5">
        <v>0.5</v>
      </c>
      <c r="Q51" s="5">
        <v>0</v>
      </c>
      <c r="R51" s="5">
        <v>0</v>
      </c>
      <c r="Z51" s="5">
        <v>0.41176470588235292</v>
      </c>
      <c r="AA51" s="5">
        <v>0.41176470588235292</v>
      </c>
      <c r="AB51" s="5">
        <v>0.17647058823529413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</row>
    <row r="52" spans="2:36" x14ac:dyDescent="0.25">
      <c r="Z52" s="5">
        <v>0.35294117647058826</v>
      </c>
      <c r="AA52" s="5">
        <v>0.47058823529411764</v>
      </c>
      <c r="AB52" s="5">
        <v>0.11764705882352941</v>
      </c>
      <c r="AC52" s="5">
        <v>5.8823529411764705E-2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</row>
    <row r="53" spans="2:36" x14ac:dyDescent="0.25">
      <c r="B53" s="5" t="s">
        <v>16</v>
      </c>
      <c r="N53" s="5" t="s">
        <v>16</v>
      </c>
      <c r="Z53" s="5">
        <v>0.4</v>
      </c>
      <c r="AA53" s="5">
        <v>0.46666666666666667</v>
      </c>
      <c r="AB53" s="5">
        <v>0</v>
      </c>
      <c r="AC53" s="5">
        <v>3.3333333333333333E-2</v>
      </c>
      <c r="AD53" s="5">
        <v>3.3333333333333333E-2</v>
      </c>
      <c r="AE53" s="5">
        <v>3.3333333333333333E-2</v>
      </c>
      <c r="AF53" s="5">
        <v>0</v>
      </c>
      <c r="AG53" s="5">
        <v>0</v>
      </c>
      <c r="AH53" s="5">
        <v>3.3333333333333333E-2</v>
      </c>
      <c r="AI53" s="5">
        <v>0</v>
      </c>
      <c r="AJ53" s="5">
        <v>0</v>
      </c>
    </row>
    <row r="54" spans="2:36" x14ac:dyDescent="0.25">
      <c r="B54" s="5">
        <v>0.81132075471698117</v>
      </c>
      <c r="C54" s="5">
        <v>1.8867924528301886E-2</v>
      </c>
      <c r="D54" s="5">
        <v>0.16981132075471697</v>
      </c>
      <c r="N54" s="5">
        <v>0.84905660377358494</v>
      </c>
      <c r="O54" s="5">
        <v>0.11320754716981132</v>
      </c>
      <c r="P54" s="5">
        <v>3.7735849056603772E-2</v>
      </c>
    </row>
    <row r="55" spans="2:36" x14ac:dyDescent="0.25">
      <c r="B55" s="5">
        <v>0.625</v>
      </c>
      <c r="C55" s="5">
        <v>6.25E-2</v>
      </c>
      <c r="D55" s="5">
        <v>0.3125</v>
      </c>
      <c r="N55" s="5">
        <v>0.75</v>
      </c>
      <c r="O55" s="5">
        <v>0.1875</v>
      </c>
      <c r="P55" s="5">
        <v>6.25E-2</v>
      </c>
      <c r="Z55" s="5" t="s">
        <v>163</v>
      </c>
    </row>
    <row r="56" spans="2:36" x14ac:dyDescent="0.25">
      <c r="B56" s="5">
        <v>0.33333333333333331</v>
      </c>
      <c r="C56" s="5">
        <v>0.33333333333333331</v>
      </c>
      <c r="D56" s="5">
        <v>0.33333333333333331</v>
      </c>
      <c r="N56" s="5">
        <v>0.55555555555555558</v>
      </c>
      <c r="O56" s="5">
        <v>0.33333333333333331</v>
      </c>
      <c r="P56" s="5">
        <v>0.1111111111111111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</row>
    <row r="57" spans="2:36" x14ac:dyDescent="0.25"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</row>
    <row r="58" spans="2:36" x14ac:dyDescent="0.25">
      <c r="B58" s="5" t="s">
        <v>17</v>
      </c>
      <c r="N58" s="5" t="s">
        <v>17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</row>
    <row r="59" spans="2:36" x14ac:dyDescent="0.25">
      <c r="B59" s="5">
        <v>0.67441860465116277</v>
      </c>
      <c r="C59" s="5">
        <v>0.23255813953488372</v>
      </c>
      <c r="D59" s="5">
        <v>9.3023255813953487E-2</v>
      </c>
      <c r="N59" s="5">
        <v>0.81395348837209303</v>
      </c>
      <c r="O59" s="5">
        <v>0.16279069767441862</v>
      </c>
      <c r="P59" s="5">
        <v>2.3255813953488372E-2</v>
      </c>
      <c r="Z59" s="5">
        <v>1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</row>
    <row r="60" spans="2:36" x14ac:dyDescent="0.25">
      <c r="B60" s="5">
        <v>0.56521739130434778</v>
      </c>
      <c r="C60" s="5">
        <v>0.13043478260869565</v>
      </c>
      <c r="D60" s="5">
        <v>0.30434782608695654</v>
      </c>
      <c r="N60" s="5">
        <v>0.69565217391304346</v>
      </c>
      <c r="O60" s="5">
        <v>0.17391304347826086</v>
      </c>
      <c r="P60" s="5">
        <v>0.13043478260869565</v>
      </c>
      <c r="Z60" s="5">
        <v>1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</row>
    <row r="61" spans="2:36" x14ac:dyDescent="0.25">
      <c r="B61" s="5">
        <v>0.33333333333333331</v>
      </c>
      <c r="C61" s="5">
        <v>0.33333333333333331</v>
      </c>
      <c r="D61" s="5">
        <v>0.33333333333333331</v>
      </c>
      <c r="N61" s="5">
        <v>0.58333333333333337</v>
      </c>
      <c r="O61" s="5">
        <v>0.41666666666666669</v>
      </c>
      <c r="P61" s="5">
        <v>0</v>
      </c>
      <c r="Z61" s="5">
        <v>0.66666666666666663</v>
      </c>
      <c r="AA61" s="5">
        <v>0.33333333333333331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</row>
    <row r="62" spans="2:36" x14ac:dyDescent="0.25">
      <c r="Z62" s="5">
        <v>0</v>
      </c>
      <c r="AA62" s="5">
        <v>1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</row>
    <row r="63" spans="2:36" x14ac:dyDescent="0.25">
      <c r="B63" s="5" t="s">
        <v>7</v>
      </c>
      <c r="N63" s="5" t="s">
        <v>7</v>
      </c>
      <c r="Z63" s="5">
        <v>0.33333333333333331</v>
      </c>
      <c r="AA63" s="5">
        <v>0.33333333333333331</v>
      </c>
      <c r="AB63" s="5">
        <v>0.33333333333333331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</row>
    <row r="64" spans="2:36" x14ac:dyDescent="0.25">
      <c r="B64" s="5">
        <v>0.36842105263157893</v>
      </c>
      <c r="C64" s="5">
        <v>0.42105263157894735</v>
      </c>
      <c r="D64" s="5">
        <v>0.21052631578947367</v>
      </c>
      <c r="N64" s="5">
        <v>0.42105263157894735</v>
      </c>
      <c r="O64" s="5">
        <v>0.47368421052631576</v>
      </c>
      <c r="P64" s="5">
        <v>0.10526315789473684</v>
      </c>
      <c r="Z64" s="5">
        <v>0.47058823529411764</v>
      </c>
      <c r="AA64" s="5">
        <v>0.41176470588235292</v>
      </c>
      <c r="AB64" s="5">
        <v>0.11764705882352941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</row>
    <row r="65" spans="2:36" x14ac:dyDescent="0.25">
      <c r="B65" s="5">
        <v>0.32</v>
      </c>
      <c r="C65" s="5">
        <v>0.4</v>
      </c>
      <c r="D65" s="5">
        <v>0.28000000000000003</v>
      </c>
      <c r="N65" s="5">
        <v>0.36</v>
      </c>
      <c r="O65" s="5">
        <v>0.52</v>
      </c>
      <c r="P65" s="5">
        <v>0.12</v>
      </c>
      <c r="Z65" s="5">
        <v>0.35294117647058826</v>
      </c>
      <c r="AA65" s="5">
        <v>0.52941176470588236</v>
      </c>
      <c r="AB65" s="5">
        <v>5.8823529411764705E-2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5.8823529411764705E-2</v>
      </c>
      <c r="AI65" s="5">
        <v>0</v>
      </c>
      <c r="AJ65" s="5">
        <v>0</v>
      </c>
    </row>
    <row r="66" spans="2:36" x14ac:dyDescent="0.25">
      <c r="B66" s="5">
        <v>0.38235294117647056</v>
      </c>
      <c r="C66" s="5">
        <v>0.23529411764705882</v>
      </c>
      <c r="D66" s="5">
        <v>0.38235294117647056</v>
      </c>
      <c r="N66" s="5">
        <v>0.3235294117647059</v>
      </c>
      <c r="O66" s="5">
        <v>0.58823529411764708</v>
      </c>
      <c r="P66" s="5">
        <v>8.8235294117647065E-2</v>
      </c>
      <c r="Z66" s="5">
        <v>0.4</v>
      </c>
      <c r="AA66" s="5">
        <v>0.36666666666666664</v>
      </c>
      <c r="AB66" s="5">
        <v>0.13333333333333333</v>
      </c>
      <c r="AC66" s="5">
        <v>3.3333333333333333E-2</v>
      </c>
      <c r="AD66" s="5">
        <v>0</v>
      </c>
      <c r="AE66" s="5">
        <v>0</v>
      </c>
      <c r="AF66" s="5">
        <v>3.3333333333333333E-2</v>
      </c>
      <c r="AG66" s="5">
        <v>0</v>
      </c>
      <c r="AH66" s="5">
        <v>3.3333333333333333E-2</v>
      </c>
      <c r="AI66" s="5">
        <v>0</v>
      </c>
      <c r="AJ66" s="5">
        <v>0</v>
      </c>
    </row>
    <row r="68" spans="2:36" x14ac:dyDescent="0.25">
      <c r="B68" s="5" t="s">
        <v>8</v>
      </c>
      <c r="N68" s="5" t="s">
        <v>8</v>
      </c>
      <c r="Z68" s="5" t="s">
        <v>162</v>
      </c>
    </row>
    <row r="69" spans="2:36" x14ac:dyDescent="0.25">
      <c r="B69" s="5">
        <v>0.16666666666666666</v>
      </c>
      <c r="C69" s="5">
        <v>0.33333333333333331</v>
      </c>
      <c r="D69" s="5">
        <v>0.5</v>
      </c>
      <c r="N69" s="5">
        <v>0.16666666666666666</v>
      </c>
      <c r="O69" s="5">
        <v>0.66666666666666663</v>
      </c>
      <c r="P69" s="5">
        <v>0.16666666666666666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</row>
    <row r="70" spans="2:36" x14ac:dyDescent="0.25">
      <c r="B70" s="5">
        <v>0</v>
      </c>
      <c r="C70" s="5">
        <v>0.33333333333333331</v>
      </c>
      <c r="D70" s="5">
        <v>0.66666666666666663</v>
      </c>
      <c r="N70" s="5">
        <v>0.33333333333333331</v>
      </c>
      <c r="O70" s="5">
        <v>0.44444444444444442</v>
      </c>
      <c r="P70" s="5">
        <v>0.22222222222222221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</row>
    <row r="71" spans="2:36" x14ac:dyDescent="0.25">
      <c r="B71" s="5">
        <v>9.5238095238095233E-2</v>
      </c>
      <c r="C71" s="5">
        <v>0.23809523809523808</v>
      </c>
      <c r="D71" s="5">
        <v>0.66666666666666663</v>
      </c>
      <c r="N71" s="5">
        <v>0.2857142857142857</v>
      </c>
      <c r="O71" s="5">
        <v>0.47619047619047616</v>
      </c>
      <c r="P71" s="5">
        <v>0.23809523809523808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</row>
    <row r="72" spans="2:36" x14ac:dyDescent="0.25">
      <c r="Z72" s="5">
        <v>1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</row>
    <row r="73" spans="2:36" x14ac:dyDescent="0.25">
      <c r="B73" s="5" t="s">
        <v>10</v>
      </c>
      <c r="N73" s="5" t="s">
        <v>10</v>
      </c>
      <c r="Z73" s="5">
        <v>1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</row>
    <row r="74" spans="2:36" x14ac:dyDescent="0.25">
      <c r="B74" s="5">
        <v>0.8392857142857143</v>
      </c>
      <c r="C74" s="5">
        <v>0</v>
      </c>
      <c r="D74" s="5">
        <v>0.10714285714285714</v>
      </c>
      <c r="E74" s="5">
        <v>5.3571428571428568E-2</v>
      </c>
      <c r="N74" s="5">
        <v>0.8392857142857143</v>
      </c>
      <c r="O74" s="5">
        <v>0.125</v>
      </c>
      <c r="P74" s="5">
        <v>3.5714285714285712E-2</v>
      </c>
      <c r="Q74" s="5">
        <v>0</v>
      </c>
      <c r="Z74" s="5">
        <v>0</v>
      </c>
      <c r="AA74" s="5">
        <v>0.66666666666666663</v>
      </c>
      <c r="AB74" s="5">
        <v>0.33333333333333331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</row>
    <row r="75" spans="2:36" x14ac:dyDescent="0.25">
      <c r="B75" s="5">
        <v>0.63636363636363635</v>
      </c>
      <c r="C75" s="5">
        <v>9.0909090909090912E-2</v>
      </c>
      <c r="D75" s="5">
        <v>0.18181818181818182</v>
      </c>
      <c r="E75" s="5">
        <v>9.0909090909090912E-2</v>
      </c>
      <c r="N75" s="5">
        <v>0.54545454545454541</v>
      </c>
      <c r="O75" s="5">
        <v>0.18181818181818182</v>
      </c>
      <c r="P75" s="5">
        <v>0.27272727272727271</v>
      </c>
      <c r="Q75" s="5">
        <v>0</v>
      </c>
      <c r="Z75" s="5">
        <v>0</v>
      </c>
      <c r="AA75" s="5">
        <v>1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</row>
    <row r="76" spans="2:36" x14ac:dyDescent="0.25">
      <c r="B76" s="5">
        <v>0.44444444444444442</v>
      </c>
      <c r="C76" s="5">
        <v>0.22222222222222221</v>
      </c>
      <c r="D76" s="5">
        <v>0.1111111111111111</v>
      </c>
      <c r="E76" s="5">
        <v>0.22222222222222221</v>
      </c>
      <c r="N76" s="5">
        <v>0.55555555555555558</v>
      </c>
      <c r="O76" s="5">
        <v>0.33333333333333331</v>
      </c>
      <c r="P76" s="5">
        <v>0</v>
      </c>
      <c r="Q76" s="5">
        <v>0.1111111111111111</v>
      </c>
      <c r="Z76" s="5">
        <v>0.33333333333333331</v>
      </c>
      <c r="AA76" s="5">
        <v>0.66666666666666663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</row>
    <row r="77" spans="2:36" x14ac:dyDescent="0.25">
      <c r="B77" s="5">
        <v>0.5</v>
      </c>
      <c r="C77" s="5">
        <v>0</v>
      </c>
      <c r="D77" s="5">
        <v>0.5</v>
      </c>
      <c r="E77" s="5">
        <v>0</v>
      </c>
      <c r="N77" s="5">
        <v>1</v>
      </c>
      <c r="O77" s="5">
        <v>0</v>
      </c>
      <c r="P77" s="5">
        <v>0</v>
      </c>
      <c r="Q77" s="5">
        <v>0</v>
      </c>
      <c r="Z77" s="5">
        <v>0.47058823529411764</v>
      </c>
      <c r="AA77" s="5">
        <v>0.29411764705882354</v>
      </c>
      <c r="AB77" s="5">
        <v>0.23529411764705882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</row>
    <row r="78" spans="2:36" x14ac:dyDescent="0.25">
      <c r="Z78" s="5">
        <v>0.29411764705882354</v>
      </c>
      <c r="AA78" s="5">
        <v>0.6470588235294118</v>
      </c>
      <c r="AB78" s="5">
        <v>0</v>
      </c>
      <c r="AC78" s="5">
        <v>5.8823529411764705E-2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</row>
    <row r="79" spans="2:36" x14ac:dyDescent="0.25">
      <c r="Z79" s="5">
        <v>0.4</v>
      </c>
      <c r="AA79" s="5">
        <v>0.43333333333333335</v>
      </c>
      <c r="AB79" s="5">
        <v>0.1</v>
      </c>
      <c r="AC79" s="5">
        <v>6.6666666666666666E-2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</row>
  </sheetData>
  <mergeCells count="2">
    <mergeCell ref="B1:K1"/>
    <mergeCell ref="N1:W1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B1:AP79"/>
  <sheetViews>
    <sheetView showGridLines="0" workbookViewId="0">
      <selection activeCell="B2" sqref="B1:AP1048576"/>
    </sheetView>
  </sheetViews>
  <sheetFormatPr defaultRowHeight="15" x14ac:dyDescent="0.25"/>
  <cols>
    <col min="1" max="1" width="2.42578125" customWidth="1"/>
    <col min="2" max="36" width="4.28515625" style="5" customWidth="1"/>
    <col min="37" max="42" width="4.28515625" customWidth="1"/>
  </cols>
  <sheetData>
    <row r="1" spans="2:42" x14ac:dyDescent="0.25">
      <c r="B1" s="203" t="s">
        <v>59</v>
      </c>
      <c r="C1" s="203"/>
      <c r="D1" s="203"/>
      <c r="E1" s="203"/>
      <c r="F1" s="203"/>
      <c r="G1" s="203"/>
      <c r="H1" s="203"/>
      <c r="I1" s="203"/>
      <c r="J1" s="203"/>
      <c r="K1" s="203"/>
      <c r="N1" s="203" t="s">
        <v>60</v>
      </c>
      <c r="O1" s="203"/>
      <c r="P1" s="203"/>
      <c r="Q1" s="203"/>
      <c r="R1" s="203"/>
      <c r="S1" s="203"/>
      <c r="T1" s="203"/>
      <c r="U1" s="203"/>
      <c r="V1" s="203"/>
      <c r="W1" s="203"/>
    </row>
    <row r="2" spans="2:42" x14ac:dyDescent="0.25">
      <c r="B2" s="5" t="s">
        <v>0</v>
      </c>
      <c r="N2" s="5" t="s">
        <v>0</v>
      </c>
    </row>
    <row r="3" spans="2:42" x14ac:dyDescent="0.25">
      <c r="B3" s="5">
        <v>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N3" s="5">
        <v>0.75862068965517238</v>
      </c>
      <c r="O3" s="5">
        <v>0.20689655172413793</v>
      </c>
      <c r="P3" s="5">
        <v>3.4482758620689655E-2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Z3" s="5" t="s">
        <v>158</v>
      </c>
    </row>
    <row r="4" spans="2:42" x14ac:dyDescent="0.25">
      <c r="B4" s="5">
        <v>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N4" s="5">
        <v>1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Z4" s="5">
        <v>0.89655172413793105</v>
      </c>
      <c r="AA4" s="5">
        <v>6.8965517241379309E-2</v>
      </c>
      <c r="AB4" s="5">
        <v>3.4482758620689655E-2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L4" s="5"/>
      <c r="AM4" s="5" t="s">
        <v>164</v>
      </c>
      <c r="AN4" s="5" t="s">
        <v>165</v>
      </c>
      <c r="AO4" s="5" t="s">
        <v>166</v>
      </c>
      <c r="AP4" s="5" t="s">
        <v>167</v>
      </c>
    </row>
    <row r="5" spans="2:42" x14ac:dyDescent="0.25">
      <c r="B5" s="5">
        <v>0.75</v>
      </c>
      <c r="C5" s="5">
        <v>0.125</v>
      </c>
      <c r="D5" s="5">
        <v>0.125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N5" s="5">
        <v>0.625</v>
      </c>
      <c r="O5" s="5">
        <v>0.25</v>
      </c>
      <c r="P5" s="5">
        <v>0.125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Z5" s="5">
        <v>0</v>
      </c>
      <c r="AA5" s="5">
        <v>1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L5" s="5">
        <v>1</v>
      </c>
      <c r="AM5" s="5">
        <v>3.048780487804878E-2</v>
      </c>
      <c r="AN5" s="5">
        <v>6.4935064935064939E-3</v>
      </c>
      <c r="AO5" s="5">
        <v>5.9523809523809521E-3</v>
      </c>
      <c r="AP5" s="5">
        <v>6.41025641025641E-3</v>
      </c>
    </row>
    <row r="6" spans="2:42" x14ac:dyDescent="0.25">
      <c r="B6" s="5">
        <v>0.4</v>
      </c>
      <c r="C6" s="5">
        <v>0.33333333333333331</v>
      </c>
      <c r="D6" s="5">
        <v>0.2</v>
      </c>
      <c r="E6" s="5">
        <v>6.6666666666666666E-2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N6" s="5">
        <v>0.53333333333333333</v>
      </c>
      <c r="O6" s="5">
        <v>0.26666666666666666</v>
      </c>
      <c r="P6" s="5">
        <v>0.2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Z6" s="5">
        <v>0.875</v>
      </c>
      <c r="AA6" s="5">
        <v>0</v>
      </c>
      <c r="AB6" s="5">
        <v>0.125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L6" s="5">
        <v>2</v>
      </c>
      <c r="AM6" s="5">
        <v>0.43902439024390244</v>
      </c>
      <c r="AN6" s="5">
        <v>0.20779220779220781</v>
      </c>
      <c r="AO6" s="5">
        <v>0</v>
      </c>
      <c r="AP6" s="5">
        <v>0</v>
      </c>
    </row>
    <row r="7" spans="2:42" x14ac:dyDescent="0.25">
      <c r="B7" s="5">
        <v>0.3888888888888889</v>
      </c>
      <c r="C7" s="5">
        <v>0.44444444444444442</v>
      </c>
      <c r="D7" s="5">
        <v>0.16666666666666666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N7" s="5">
        <v>0.55555555555555558</v>
      </c>
      <c r="O7" s="5">
        <v>0.22222222222222221</v>
      </c>
      <c r="P7" s="5">
        <v>0.22222222222222221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Z7" s="5">
        <v>0.66666666666666663</v>
      </c>
      <c r="AA7" s="5">
        <v>0.2</v>
      </c>
      <c r="AB7" s="5">
        <v>0.13333333333333333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L7" s="5">
        <v>3</v>
      </c>
      <c r="AM7" s="5">
        <v>5.4878048780487805E-2</v>
      </c>
      <c r="AN7" s="5">
        <v>6.4935064935064929E-2</v>
      </c>
      <c r="AO7" s="5">
        <v>0.11904761904761904</v>
      </c>
      <c r="AP7" s="5">
        <v>7.6923076923076927E-2</v>
      </c>
    </row>
    <row r="8" spans="2:42" x14ac:dyDescent="0.25">
      <c r="B8" s="5">
        <v>0</v>
      </c>
      <c r="C8" s="5">
        <v>0.6</v>
      </c>
      <c r="D8" s="5">
        <v>0.4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N8" s="5">
        <v>0.6</v>
      </c>
      <c r="O8" s="5">
        <v>0.4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Z8" s="5">
        <v>0.83333333333333337</v>
      </c>
      <c r="AA8" s="5">
        <v>5.5555555555555552E-2</v>
      </c>
      <c r="AB8" s="5">
        <v>0.1111111111111111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L8" s="5">
        <v>4</v>
      </c>
      <c r="AM8" s="5">
        <v>0.29878048780487804</v>
      </c>
      <c r="AN8" s="5">
        <v>0.33766233766233766</v>
      </c>
      <c r="AO8" s="5">
        <v>0.36904761904761907</v>
      </c>
      <c r="AP8" s="5">
        <v>0.25</v>
      </c>
    </row>
    <row r="9" spans="2:42" x14ac:dyDescent="0.25"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s="5">
        <v>1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L9" s="5">
        <v>5</v>
      </c>
      <c r="AM9" s="5">
        <v>0.17682926829268292</v>
      </c>
      <c r="AN9" s="5">
        <v>0.38311688311688313</v>
      </c>
      <c r="AO9" s="5">
        <v>0.50595238095238093</v>
      </c>
      <c r="AP9" s="5">
        <v>0.66666666666666663</v>
      </c>
    </row>
    <row r="10" spans="2:42" x14ac:dyDescent="0.25"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</row>
    <row r="11" spans="2:42" x14ac:dyDescent="0.25">
      <c r="B11" s="5">
        <v>0</v>
      </c>
      <c r="C11" s="5">
        <v>1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N11" s="5">
        <v>1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</row>
    <row r="12" spans="2:42" x14ac:dyDescent="0.25"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 s="5">
        <v>1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</row>
    <row r="13" spans="2:42" x14ac:dyDescent="0.25">
      <c r="B13" s="5">
        <v>1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N13" s="5">
        <v>1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</row>
    <row r="14" spans="2:42" x14ac:dyDescent="0.25">
      <c r="Z14" s="5">
        <v>1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</row>
    <row r="15" spans="2:42" x14ac:dyDescent="0.25">
      <c r="B15" s="5" t="s">
        <v>1</v>
      </c>
      <c r="N15" s="5" t="s">
        <v>1</v>
      </c>
    </row>
    <row r="16" spans="2:42" x14ac:dyDescent="0.25"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 s="5" t="s">
        <v>159</v>
      </c>
    </row>
    <row r="17" spans="2:36" x14ac:dyDescent="0.25"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 s="5">
        <v>0.62068965517241381</v>
      </c>
      <c r="AA17" s="5">
        <v>0.27586206896551724</v>
      </c>
      <c r="AB17" s="5">
        <v>0.10344827586206896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</row>
    <row r="18" spans="2:36" x14ac:dyDescent="0.25"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 s="5">
        <v>0</v>
      </c>
      <c r="AA18" s="5">
        <v>0</v>
      </c>
      <c r="AB18" s="5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</row>
    <row r="19" spans="2:36" x14ac:dyDescent="0.25">
      <c r="B19" s="5">
        <v>0</v>
      </c>
      <c r="C19" s="5">
        <v>0</v>
      </c>
      <c r="D19" s="5">
        <v>0</v>
      </c>
      <c r="E19" s="5">
        <v>0</v>
      </c>
      <c r="F19" s="5">
        <v>1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N19" s="5">
        <v>0</v>
      </c>
      <c r="O19" s="5">
        <v>0</v>
      </c>
      <c r="P19" s="5">
        <v>1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 s="5">
        <v>0.5</v>
      </c>
      <c r="AA19" s="5">
        <v>0.375</v>
      </c>
      <c r="AB19" s="5">
        <v>0.125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</row>
    <row r="20" spans="2:36" x14ac:dyDescent="0.25">
      <c r="B20" s="5">
        <v>0</v>
      </c>
      <c r="C20" s="5">
        <v>0</v>
      </c>
      <c r="D20" s="5">
        <v>1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N20" s="5">
        <v>1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 s="5">
        <v>0.6</v>
      </c>
      <c r="AA20" s="5">
        <v>0.26666666666666666</v>
      </c>
      <c r="AB20" s="5">
        <v>0.13333333333333333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</row>
    <row r="21" spans="2:36" x14ac:dyDescent="0.25">
      <c r="B21" s="5">
        <v>0.66666666666666663</v>
      </c>
      <c r="C21" s="5">
        <v>0</v>
      </c>
      <c r="D21" s="5">
        <v>0.33333333333333331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N21" s="5">
        <v>0.66666666666666663</v>
      </c>
      <c r="O21" s="5">
        <v>0.33333333333333331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 s="5">
        <v>0.72222222222222221</v>
      </c>
      <c r="AA21" s="5">
        <v>0.27777777777777779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</row>
    <row r="22" spans="2:36" x14ac:dyDescent="0.25">
      <c r="B22" s="5">
        <v>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N22" s="5">
        <v>0</v>
      </c>
      <c r="O22" s="5">
        <v>1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 s="5">
        <v>0.8</v>
      </c>
      <c r="AA22" s="5">
        <v>0.2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</row>
    <row r="23" spans="2:36" x14ac:dyDescent="0.25">
      <c r="B23" s="5">
        <v>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N23" s="5">
        <v>0.66666666666666663</v>
      </c>
      <c r="O23" s="5">
        <v>0.33333333333333331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</row>
    <row r="24" spans="2:36" x14ac:dyDescent="0.25">
      <c r="B24" s="5">
        <v>0.29411764705882354</v>
      </c>
      <c r="C24" s="5">
        <v>0.41176470588235292</v>
      </c>
      <c r="D24" s="5">
        <v>0.23529411764705882</v>
      </c>
      <c r="E24" s="5">
        <v>5.8823529411764705E-2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N24" s="5">
        <v>0.52941176470588236</v>
      </c>
      <c r="O24" s="5">
        <v>0.23529411764705882</v>
      </c>
      <c r="P24" s="5">
        <v>0.11764705882352941</v>
      </c>
      <c r="Q24" s="5">
        <v>0.11764705882352941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</row>
    <row r="25" spans="2:36" x14ac:dyDescent="0.25">
      <c r="B25" s="5">
        <v>0.29411764705882354</v>
      </c>
      <c r="C25" s="5">
        <v>0.17647058823529413</v>
      </c>
      <c r="D25" s="5">
        <v>0.35294117647058826</v>
      </c>
      <c r="E25" s="5">
        <v>0.17647058823529413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N25" s="5">
        <v>0.29411764705882354</v>
      </c>
      <c r="O25" s="5">
        <v>0.58823529411764708</v>
      </c>
      <c r="P25" s="5">
        <v>5.8823529411764705E-2</v>
      </c>
      <c r="Q25" s="5">
        <v>5.8823529411764705E-2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 s="5">
        <v>1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</row>
    <row r="26" spans="2:36" x14ac:dyDescent="0.25">
      <c r="B26" s="5">
        <v>0.43333333333333335</v>
      </c>
      <c r="C26" s="5">
        <v>0.23333333333333334</v>
      </c>
      <c r="D26" s="5">
        <v>0.13333333333333333</v>
      </c>
      <c r="E26" s="5">
        <v>0.13333333333333333</v>
      </c>
      <c r="F26" s="5">
        <v>6.6666666666666666E-2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N26" s="5">
        <v>0.46666666666666667</v>
      </c>
      <c r="O26" s="5">
        <v>0.3</v>
      </c>
      <c r="P26" s="5">
        <v>0.13333333333333333</v>
      </c>
      <c r="Q26" s="5">
        <v>0</v>
      </c>
      <c r="R26" s="5">
        <v>3.3333333333333333E-2</v>
      </c>
      <c r="S26" s="5">
        <v>3.3333333333333333E-2</v>
      </c>
      <c r="T26" s="5">
        <v>3.3333333333333333E-2</v>
      </c>
      <c r="U26" s="5">
        <v>0</v>
      </c>
      <c r="V26" s="5">
        <v>0</v>
      </c>
      <c r="W26" s="5">
        <v>0</v>
      </c>
      <c r="X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</row>
    <row r="27" spans="2:36" x14ac:dyDescent="0.25">
      <c r="Z27" s="5">
        <v>1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</row>
    <row r="28" spans="2:36" x14ac:dyDescent="0.25">
      <c r="B28" s="5" t="s">
        <v>3</v>
      </c>
      <c r="N28" s="5" t="s">
        <v>3</v>
      </c>
    </row>
    <row r="29" spans="2:36" x14ac:dyDescent="0.25">
      <c r="B29" s="5">
        <v>7.1428571428571425E-2</v>
      </c>
      <c r="C29" s="5">
        <v>0.7142857142857143</v>
      </c>
      <c r="D29" s="5">
        <v>0.21428571428571427</v>
      </c>
      <c r="E29" s="5">
        <v>0</v>
      </c>
      <c r="N29" s="5">
        <v>0</v>
      </c>
      <c r="O29" s="5">
        <v>0.42857142857142855</v>
      </c>
      <c r="P29" s="5">
        <v>0.42857142857142855</v>
      </c>
      <c r="Q29" s="5">
        <v>0.14285714285714285</v>
      </c>
      <c r="Z29" s="5" t="s">
        <v>160</v>
      </c>
    </row>
    <row r="30" spans="2:36" x14ac:dyDescent="0.25">
      <c r="B30" s="5">
        <v>0</v>
      </c>
      <c r="C30" s="5">
        <v>0.54347826086956519</v>
      </c>
      <c r="D30" s="5">
        <v>0.39130434782608697</v>
      </c>
      <c r="E30" s="5">
        <v>6.5217391304347824E-2</v>
      </c>
      <c r="N30" s="5">
        <v>0</v>
      </c>
      <c r="O30" s="5">
        <v>0.28260869565217389</v>
      </c>
      <c r="P30" s="5">
        <v>0.2608695652173913</v>
      </c>
      <c r="Q30" s="5">
        <v>0.45652173913043476</v>
      </c>
      <c r="Z30" s="5">
        <v>0.44827586206896552</v>
      </c>
      <c r="AA30" s="5">
        <v>0.31034482758620691</v>
      </c>
      <c r="AB30" s="5">
        <v>0.2413793103448276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</row>
    <row r="31" spans="2:36" x14ac:dyDescent="0.25">
      <c r="B31" s="5">
        <v>0</v>
      </c>
      <c r="C31" s="5">
        <v>0.27777777777777779</v>
      </c>
      <c r="D31" s="5">
        <v>0.61111111111111116</v>
      </c>
      <c r="E31" s="5">
        <v>0.1111111111111111</v>
      </c>
      <c r="N31" s="5">
        <v>0</v>
      </c>
      <c r="O31" s="5">
        <v>0.22222222222222221</v>
      </c>
      <c r="P31" s="5">
        <v>0.3888888888888889</v>
      </c>
      <c r="Q31" s="5">
        <v>0.3888888888888889</v>
      </c>
      <c r="Z31" s="5">
        <v>0</v>
      </c>
      <c r="AA31" s="5">
        <v>1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</row>
    <row r="32" spans="2:36" x14ac:dyDescent="0.25">
      <c r="B32" s="5">
        <v>0</v>
      </c>
      <c r="C32" s="5">
        <v>0</v>
      </c>
      <c r="D32" s="5">
        <v>0</v>
      </c>
      <c r="E32" s="5">
        <v>0</v>
      </c>
      <c r="N32" s="5">
        <v>0</v>
      </c>
      <c r="O32" s="5">
        <v>0</v>
      </c>
      <c r="P32" s="5">
        <v>0</v>
      </c>
      <c r="Q32" s="5">
        <v>0</v>
      </c>
      <c r="Z32" s="5">
        <v>0.25</v>
      </c>
      <c r="AA32" s="5">
        <v>0.625</v>
      </c>
      <c r="AB32" s="5">
        <v>0.125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</row>
    <row r="33" spans="2:36" x14ac:dyDescent="0.25">
      <c r="Z33" s="5">
        <v>0.4</v>
      </c>
      <c r="AA33" s="5">
        <v>0.33333333333333331</v>
      </c>
      <c r="AB33" s="5">
        <v>0.13333333333333333</v>
      </c>
      <c r="AC33" s="5">
        <v>0.13333333333333333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</row>
    <row r="34" spans="2:36" x14ac:dyDescent="0.25">
      <c r="B34" s="5" t="s">
        <v>4</v>
      </c>
      <c r="N34" s="5" t="s">
        <v>4</v>
      </c>
      <c r="Z34" s="5">
        <v>0.44444444444444442</v>
      </c>
      <c r="AA34" s="5">
        <v>0.3888888888888889</v>
      </c>
      <c r="AB34" s="5">
        <v>0.1111111111111111</v>
      </c>
      <c r="AC34" s="5">
        <v>5.5555555555555552E-2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</row>
    <row r="35" spans="2:36" x14ac:dyDescent="0.25">
      <c r="B35" s="5">
        <v>0.1111111111111111</v>
      </c>
      <c r="C35" s="5">
        <v>0.22222222222222221</v>
      </c>
      <c r="D35" s="5">
        <v>0.66666666666666663</v>
      </c>
      <c r="E35" s="5">
        <v>0</v>
      </c>
      <c r="N35" s="5">
        <v>0</v>
      </c>
      <c r="O35" s="5">
        <v>0.22222222222222221</v>
      </c>
      <c r="P35" s="5">
        <v>0.55555555555555558</v>
      </c>
      <c r="Q35" s="5">
        <v>0.22222222222222221</v>
      </c>
      <c r="Z35" s="5">
        <v>0.8</v>
      </c>
      <c r="AA35" s="5">
        <v>0.2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</row>
    <row r="36" spans="2:36" x14ac:dyDescent="0.25">
      <c r="B36" s="5">
        <v>0</v>
      </c>
      <c r="C36" s="5">
        <v>0.56756756756756754</v>
      </c>
      <c r="D36" s="5">
        <v>0.3783783783783784</v>
      </c>
      <c r="E36" s="5">
        <v>5.4054054054054057E-2</v>
      </c>
      <c r="N36" s="5">
        <v>0</v>
      </c>
      <c r="O36" s="5">
        <v>0.27027027027027029</v>
      </c>
      <c r="P36" s="5">
        <v>0.24324324324324326</v>
      </c>
      <c r="Q36" s="5">
        <v>0.48648648648648651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</row>
    <row r="37" spans="2:36" x14ac:dyDescent="0.25">
      <c r="B37" s="5">
        <v>0</v>
      </c>
      <c r="C37" s="5">
        <v>0.23076923076923078</v>
      </c>
      <c r="D37" s="5">
        <v>0.57692307692307687</v>
      </c>
      <c r="E37" s="5">
        <v>0.19230769230769232</v>
      </c>
      <c r="N37" s="5">
        <v>0</v>
      </c>
      <c r="O37" s="5">
        <v>0.34615384615384615</v>
      </c>
      <c r="P37" s="5">
        <v>0.23076923076923078</v>
      </c>
      <c r="Q37" s="5">
        <v>0.42307692307692307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</row>
    <row r="38" spans="2:36" x14ac:dyDescent="0.25">
      <c r="B38" s="5">
        <v>0</v>
      </c>
      <c r="C38" s="5">
        <v>0</v>
      </c>
      <c r="D38" s="5">
        <v>0.66666666666666663</v>
      </c>
      <c r="E38" s="5">
        <v>0.33333333333333331</v>
      </c>
      <c r="N38" s="5">
        <v>0</v>
      </c>
      <c r="O38" s="5">
        <v>0.16666666666666666</v>
      </c>
      <c r="P38" s="5">
        <v>0.33333333333333331</v>
      </c>
      <c r="Q38" s="5">
        <v>0.5</v>
      </c>
      <c r="Z38" s="5">
        <v>1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</row>
    <row r="39" spans="2:36" x14ac:dyDescent="0.25"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</row>
    <row r="40" spans="2:36" x14ac:dyDescent="0.25">
      <c r="B40" s="5" t="s">
        <v>5</v>
      </c>
      <c r="N40" s="5" t="s">
        <v>5</v>
      </c>
      <c r="Z40" s="5">
        <v>1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</row>
    <row r="41" spans="2:36" x14ac:dyDescent="0.25">
      <c r="B41" s="5">
        <v>0.20833333333333334</v>
      </c>
      <c r="C41" s="5">
        <v>0.58333333333333337</v>
      </c>
      <c r="D41" s="5">
        <v>0.16666666666666666</v>
      </c>
      <c r="E41" s="5">
        <v>4.1666666666666664E-2</v>
      </c>
      <c r="N41" s="5">
        <v>0.125</v>
      </c>
      <c r="O41" s="5">
        <v>0.16666666666666666</v>
      </c>
      <c r="P41" s="5">
        <v>0.33333333333333331</v>
      </c>
      <c r="Q41" s="5">
        <v>0.375</v>
      </c>
    </row>
    <row r="42" spans="2:36" x14ac:dyDescent="0.25">
      <c r="B42" s="5">
        <v>4.1666666666666664E-2</v>
      </c>
      <c r="C42" s="5">
        <v>0.5625</v>
      </c>
      <c r="D42" s="5">
        <v>0.33333333333333331</v>
      </c>
      <c r="E42" s="5">
        <v>6.25E-2</v>
      </c>
      <c r="N42" s="5">
        <v>4.1666666666666664E-2</v>
      </c>
      <c r="O42" s="5">
        <v>0.125</v>
      </c>
      <c r="P42" s="5">
        <v>0.35416666666666669</v>
      </c>
      <c r="Q42" s="5">
        <v>0.47916666666666669</v>
      </c>
      <c r="Z42" s="5" t="s">
        <v>161</v>
      </c>
    </row>
    <row r="43" spans="2:36" x14ac:dyDescent="0.25">
      <c r="B43" s="5">
        <v>0</v>
      </c>
      <c r="C43" s="5">
        <v>0.2</v>
      </c>
      <c r="D43" s="5">
        <v>0.6</v>
      </c>
      <c r="E43" s="5">
        <v>0.2</v>
      </c>
      <c r="N43" s="5">
        <v>0</v>
      </c>
      <c r="O43" s="5">
        <v>0</v>
      </c>
      <c r="P43" s="5">
        <v>0.6</v>
      </c>
      <c r="Q43" s="5">
        <v>0.4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</row>
    <row r="44" spans="2:36" x14ac:dyDescent="0.25">
      <c r="B44" s="5">
        <v>0</v>
      </c>
      <c r="C44" s="5">
        <v>0</v>
      </c>
      <c r="D44" s="5">
        <v>0</v>
      </c>
      <c r="E44" s="5">
        <v>1</v>
      </c>
      <c r="N44" s="5">
        <v>0</v>
      </c>
      <c r="O44" s="5">
        <v>0</v>
      </c>
      <c r="P44" s="5">
        <v>1</v>
      </c>
      <c r="Q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</row>
    <row r="45" spans="2:36" x14ac:dyDescent="0.25"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</row>
    <row r="46" spans="2:36" x14ac:dyDescent="0.25">
      <c r="B46" s="5" t="s">
        <v>6</v>
      </c>
      <c r="N46" s="5" t="s">
        <v>6</v>
      </c>
      <c r="Z46" s="5">
        <v>0</v>
      </c>
      <c r="AA46" s="5">
        <v>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</row>
    <row r="47" spans="2:36" x14ac:dyDescent="0.25">
      <c r="B47" s="5">
        <v>1</v>
      </c>
      <c r="C47" s="5">
        <v>0</v>
      </c>
      <c r="D47" s="5">
        <v>0</v>
      </c>
      <c r="E47" s="5">
        <v>0</v>
      </c>
      <c r="F47" s="5">
        <v>0</v>
      </c>
      <c r="N47" s="5">
        <v>1</v>
      </c>
      <c r="O47" s="5">
        <v>0</v>
      </c>
      <c r="P47" s="5">
        <v>0</v>
      </c>
      <c r="Q47" s="5">
        <v>0</v>
      </c>
      <c r="R47" s="5">
        <v>0</v>
      </c>
      <c r="Z47" s="5">
        <v>1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</row>
    <row r="48" spans="2:36" x14ac:dyDescent="0.25">
      <c r="B48" s="5">
        <v>0.19047619047619047</v>
      </c>
      <c r="C48" s="5">
        <v>0.52380952380952384</v>
      </c>
      <c r="D48" s="5">
        <v>0.2857142857142857</v>
      </c>
      <c r="E48" s="5">
        <v>0</v>
      </c>
      <c r="F48" s="5">
        <v>0</v>
      </c>
      <c r="N48" s="5">
        <v>4.7619047619047616E-2</v>
      </c>
      <c r="O48" s="5">
        <v>0.5714285714285714</v>
      </c>
      <c r="P48" s="5">
        <v>0.38095238095238093</v>
      </c>
      <c r="Q48" s="5">
        <v>0</v>
      </c>
      <c r="R48" s="5">
        <v>0</v>
      </c>
      <c r="Z48" s="5">
        <v>0.66666666666666663</v>
      </c>
      <c r="AA48" s="5">
        <v>0.33333333333333331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</row>
    <row r="49" spans="2:36" x14ac:dyDescent="0.25">
      <c r="B49" s="5">
        <v>8.8235294117647065E-2</v>
      </c>
      <c r="C49" s="5">
        <v>0.67647058823529416</v>
      </c>
      <c r="D49" s="5">
        <v>0.20588235294117646</v>
      </c>
      <c r="E49" s="5">
        <v>0</v>
      </c>
      <c r="F49" s="5">
        <v>2.9411764705882353E-2</v>
      </c>
      <c r="N49" s="5">
        <v>0.17647058823529413</v>
      </c>
      <c r="O49" s="5">
        <v>0.61764705882352944</v>
      </c>
      <c r="P49" s="5">
        <v>0.20588235294117646</v>
      </c>
      <c r="Q49" s="5">
        <v>0</v>
      </c>
      <c r="R49" s="5">
        <v>0</v>
      </c>
      <c r="Z49" s="5">
        <v>0</v>
      </c>
      <c r="AA49" s="5">
        <v>1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</row>
    <row r="50" spans="2:36" x14ac:dyDescent="0.25">
      <c r="B50" s="5">
        <v>0.125</v>
      </c>
      <c r="C50" s="5">
        <v>0.75</v>
      </c>
      <c r="D50" s="5">
        <v>6.25E-2</v>
      </c>
      <c r="E50" s="5">
        <v>0</v>
      </c>
      <c r="F50" s="5">
        <v>6.25E-2</v>
      </c>
      <c r="N50" s="5">
        <v>0</v>
      </c>
      <c r="O50" s="5">
        <v>0.6875</v>
      </c>
      <c r="P50" s="5">
        <v>0.3125</v>
      </c>
      <c r="Q50" s="5">
        <v>0</v>
      </c>
      <c r="R50" s="5">
        <v>0</v>
      </c>
      <c r="Z50" s="5">
        <v>0.33333333333333331</v>
      </c>
      <c r="AA50" s="5">
        <v>0.33333333333333331</v>
      </c>
      <c r="AB50" s="5">
        <v>0.33333333333333331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</row>
    <row r="51" spans="2:36" x14ac:dyDescent="0.25">
      <c r="B51" s="5">
        <v>0</v>
      </c>
      <c r="C51" s="5">
        <v>0.66666666666666663</v>
      </c>
      <c r="D51" s="5">
        <v>0.16666666666666666</v>
      </c>
      <c r="E51" s="5">
        <v>0</v>
      </c>
      <c r="F51" s="5">
        <v>0.16666666666666666</v>
      </c>
      <c r="N51" s="5">
        <v>0.33333333333333331</v>
      </c>
      <c r="O51" s="5">
        <v>0.16666666666666666</v>
      </c>
      <c r="P51" s="5">
        <v>0.5</v>
      </c>
      <c r="Q51" s="5">
        <v>0</v>
      </c>
      <c r="R51" s="5">
        <v>0</v>
      </c>
      <c r="Z51" s="5">
        <v>0.41176470588235292</v>
      </c>
      <c r="AA51" s="5">
        <v>0.41176470588235292</v>
      </c>
      <c r="AB51" s="5">
        <v>0.17647058823529413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</row>
    <row r="52" spans="2:36" x14ac:dyDescent="0.25">
      <c r="Z52" s="5">
        <v>0.35294117647058826</v>
      </c>
      <c r="AA52" s="5">
        <v>0.47058823529411764</v>
      </c>
      <c r="AB52" s="5">
        <v>0.11764705882352941</v>
      </c>
      <c r="AC52" s="5">
        <v>5.8823529411764705E-2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</row>
    <row r="53" spans="2:36" x14ac:dyDescent="0.25">
      <c r="B53" s="5" t="s">
        <v>16</v>
      </c>
      <c r="N53" s="5" t="s">
        <v>16</v>
      </c>
      <c r="Z53" s="5">
        <v>0.4</v>
      </c>
      <c r="AA53" s="5">
        <v>0.46666666666666667</v>
      </c>
      <c r="AB53" s="5">
        <v>0</v>
      </c>
      <c r="AC53" s="5">
        <v>3.3333333333333333E-2</v>
      </c>
      <c r="AD53" s="5">
        <v>3.3333333333333333E-2</v>
      </c>
      <c r="AE53" s="5">
        <v>3.3333333333333333E-2</v>
      </c>
      <c r="AF53" s="5">
        <v>0</v>
      </c>
      <c r="AG53" s="5">
        <v>0</v>
      </c>
      <c r="AH53" s="5">
        <v>3.3333333333333333E-2</v>
      </c>
      <c r="AI53" s="5">
        <v>0</v>
      </c>
      <c r="AJ53" s="5">
        <v>0</v>
      </c>
    </row>
    <row r="54" spans="2:36" x14ac:dyDescent="0.25">
      <c r="B54" s="5">
        <v>0.81132075471698117</v>
      </c>
      <c r="C54" s="5">
        <v>1.8867924528301886E-2</v>
      </c>
      <c r="D54" s="5">
        <v>0.16981132075471697</v>
      </c>
      <c r="N54" s="5">
        <v>0.84905660377358494</v>
      </c>
      <c r="O54" s="5">
        <v>0.11320754716981132</v>
      </c>
      <c r="P54" s="5">
        <v>3.7735849056603772E-2</v>
      </c>
    </row>
    <row r="55" spans="2:36" x14ac:dyDescent="0.25">
      <c r="B55" s="5">
        <v>0.625</v>
      </c>
      <c r="C55" s="5">
        <v>6.25E-2</v>
      </c>
      <c r="D55" s="5">
        <v>0.3125</v>
      </c>
      <c r="N55" s="5">
        <v>0.75</v>
      </c>
      <c r="O55" s="5">
        <v>0.1875</v>
      </c>
      <c r="P55" s="5">
        <v>6.25E-2</v>
      </c>
      <c r="Z55" s="5" t="s">
        <v>163</v>
      </c>
    </row>
    <row r="56" spans="2:36" x14ac:dyDescent="0.25">
      <c r="B56" s="5">
        <v>0.33333333333333331</v>
      </c>
      <c r="C56" s="5">
        <v>0.33333333333333331</v>
      </c>
      <c r="D56" s="5">
        <v>0.33333333333333331</v>
      </c>
      <c r="N56" s="5">
        <v>0.55555555555555558</v>
      </c>
      <c r="O56" s="5">
        <v>0.33333333333333331</v>
      </c>
      <c r="P56" s="5">
        <v>0.1111111111111111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</row>
    <row r="57" spans="2:36" x14ac:dyDescent="0.25"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</row>
    <row r="58" spans="2:36" x14ac:dyDescent="0.25">
      <c r="B58" s="5" t="s">
        <v>17</v>
      </c>
      <c r="N58" s="5" t="s">
        <v>17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</row>
    <row r="59" spans="2:36" x14ac:dyDescent="0.25">
      <c r="B59" s="5">
        <v>0.67441860465116277</v>
      </c>
      <c r="C59" s="5">
        <v>0.23255813953488372</v>
      </c>
      <c r="D59" s="5">
        <v>9.3023255813953487E-2</v>
      </c>
      <c r="N59" s="5">
        <v>0.81395348837209303</v>
      </c>
      <c r="O59" s="5">
        <v>0.16279069767441862</v>
      </c>
      <c r="P59" s="5">
        <v>2.3255813953488372E-2</v>
      </c>
      <c r="Z59" s="5">
        <v>1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</row>
    <row r="60" spans="2:36" x14ac:dyDescent="0.25">
      <c r="B60" s="5">
        <v>0.56521739130434778</v>
      </c>
      <c r="C60" s="5">
        <v>0.13043478260869565</v>
      </c>
      <c r="D60" s="5">
        <v>0.30434782608695654</v>
      </c>
      <c r="N60" s="5">
        <v>0.69565217391304346</v>
      </c>
      <c r="O60" s="5">
        <v>0.17391304347826086</v>
      </c>
      <c r="P60" s="5">
        <v>0.13043478260869565</v>
      </c>
      <c r="Z60" s="5">
        <v>1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</row>
    <row r="61" spans="2:36" x14ac:dyDescent="0.25">
      <c r="B61" s="5">
        <v>0.33333333333333331</v>
      </c>
      <c r="C61" s="5">
        <v>0.33333333333333331</v>
      </c>
      <c r="D61" s="5">
        <v>0.33333333333333331</v>
      </c>
      <c r="N61" s="5">
        <v>0.58333333333333337</v>
      </c>
      <c r="O61" s="5">
        <v>0.41666666666666669</v>
      </c>
      <c r="P61" s="5">
        <v>0</v>
      </c>
      <c r="Z61" s="5">
        <v>0.66666666666666663</v>
      </c>
      <c r="AA61" s="5">
        <v>0.33333333333333331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</row>
    <row r="62" spans="2:36" x14ac:dyDescent="0.25">
      <c r="Z62" s="5">
        <v>0</v>
      </c>
      <c r="AA62" s="5">
        <v>1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</row>
    <row r="63" spans="2:36" x14ac:dyDescent="0.25">
      <c r="B63" s="5" t="s">
        <v>7</v>
      </c>
      <c r="N63" s="5" t="s">
        <v>7</v>
      </c>
      <c r="Z63" s="5">
        <v>0.33333333333333331</v>
      </c>
      <c r="AA63" s="5">
        <v>0.33333333333333331</v>
      </c>
      <c r="AB63" s="5">
        <v>0.33333333333333331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</row>
    <row r="64" spans="2:36" x14ac:dyDescent="0.25">
      <c r="B64" s="5">
        <v>0.36842105263157893</v>
      </c>
      <c r="C64" s="5">
        <v>0.42105263157894735</v>
      </c>
      <c r="D64" s="5">
        <v>0.21052631578947367</v>
      </c>
      <c r="N64" s="5">
        <v>0.42105263157894735</v>
      </c>
      <c r="O64" s="5">
        <v>0.47368421052631576</v>
      </c>
      <c r="P64" s="5">
        <v>0.10526315789473684</v>
      </c>
      <c r="Z64" s="5">
        <v>0.47058823529411764</v>
      </c>
      <c r="AA64" s="5">
        <v>0.41176470588235292</v>
      </c>
      <c r="AB64" s="5">
        <v>0.11764705882352941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</row>
    <row r="65" spans="2:36" x14ac:dyDescent="0.25">
      <c r="B65" s="5">
        <v>0.32</v>
      </c>
      <c r="C65" s="5">
        <v>0.4</v>
      </c>
      <c r="D65" s="5">
        <v>0.28000000000000003</v>
      </c>
      <c r="N65" s="5">
        <v>0.36</v>
      </c>
      <c r="O65" s="5">
        <v>0.52</v>
      </c>
      <c r="P65" s="5">
        <v>0.12</v>
      </c>
      <c r="Z65" s="5">
        <v>0.35294117647058826</v>
      </c>
      <c r="AA65" s="5">
        <v>0.52941176470588236</v>
      </c>
      <c r="AB65" s="5">
        <v>5.8823529411764705E-2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5.8823529411764705E-2</v>
      </c>
      <c r="AI65" s="5">
        <v>0</v>
      </c>
      <c r="AJ65" s="5">
        <v>0</v>
      </c>
    </row>
    <row r="66" spans="2:36" x14ac:dyDescent="0.25">
      <c r="B66" s="5">
        <v>0.38235294117647056</v>
      </c>
      <c r="C66" s="5">
        <v>0.23529411764705882</v>
      </c>
      <c r="D66" s="5">
        <v>0.38235294117647056</v>
      </c>
      <c r="N66" s="5">
        <v>0.3235294117647059</v>
      </c>
      <c r="O66" s="5">
        <v>0.58823529411764708</v>
      </c>
      <c r="P66" s="5">
        <v>8.8235294117647065E-2</v>
      </c>
      <c r="Z66" s="5">
        <v>0.4</v>
      </c>
      <c r="AA66" s="5">
        <v>0.36666666666666664</v>
      </c>
      <c r="AB66" s="5">
        <v>0.13333333333333333</v>
      </c>
      <c r="AC66" s="5">
        <v>3.3333333333333333E-2</v>
      </c>
      <c r="AD66" s="5">
        <v>0</v>
      </c>
      <c r="AE66" s="5">
        <v>0</v>
      </c>
      <c r="AF66" s="5">
        <v>3.3333333333333333E-2</v>
      </c>
      <c r="AG66" s="5">
        <v>0</v>
      </c>
      <c r="AH66" s="5">
        <v>3.3333333333333333E-2</v>
      </c>
      <c r="AI66" s="5">
        <v>0</v>
      </c>
      <c r="AJ66" s="5">
        <v>0</v>
      </c>
    </row>
    <row r="68" spans="2:36" x14ac:dyDescent="0.25">
      <c r="B68" s="5" t="s">
        <v>8</v>
      </c>
      <c r="N68" s="5" t="s">
        <v>8</v>
      </c>
      <c r="Z68" s="5" t="s">
        <v>162</v>
      </c>
    </row>
    <row r="69" spans="2:36" x14ac:dyDescent="0.25">
      <c r="B69" s="5">
        <v>0.16666666666666666</v>
      </c>
      <c r="C69" s="5">
        <v>0.33333333333333331</v>
      </c>
      <c r="D69" s="5">
        <v>0.5</v>
      </c>
      <c r="N69" s="5">
        <v>0.16666666666666666</v>
      </c>
      <c r="O69" s="5">
        <v>0.66666666666666663</v>
      </c>
      <c r="P69" s="5">
        <v>0.16666666666666666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</row>
    <row r="70" spans="2:36" x14ac:dyDescent="0.25">
      <c r="B70" s="5">
        <v>0</v>
      </c>
      <c r="C70" s="5">
        <v>0.33333333333333331</v>
      </c>
      <c r="D70" s="5">
        <v>0.66666666666666663</v>
      </c>
      <c r="N70" s="5">
        <v>0.33333333333333331</v>
      </c>
      <c r="O70" s="5">
        <v>0.44444444444444442</v>
      </c>
      <c r="P70" s="5">
        <v>0.22222222222222221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</row>
    <row r="71" spans="2:36" x14ac:dyDescent="0.25">
      <c r="B71" s="5">
        <v>9.5238095238095233E-2</v>
      </c>
      <c r="C71" s="5">
        <v>0.23809523809523808</v>
      </c>
      <c r="D71" s="5">
        <v>0.66666666666666663</v>
      </c>
      <c r="N71" s="5">
        <v>0.2857142857142857</v>
      </c>
      <c r="O71" s="5">
        <v>0.47619047619047616</v>
      </c>
      <c r="P71" s="5">
        <v>0.23809523809523808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</row>
    <row r="72" spans="2:36" x14ac:dyDescent="0.25">
      <c r="Z72" s="5">
        <v>1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</row>
    <row r="73" spans="2:36" x14ac:dyDescent="0.25">
      <c r="B73" s="5" t="s">
        <v>10</v>
      </c>
      <c r="N73" s="5" t="s">
        <v>10</v>
      </c>
      <c r="Z73" s="5">
        <v>1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</row>
    <row r="74" spans="2:36" x14ac:dyDescent="0.25">
      <c r="B74" s="5">
        <v>0.8392857142857143</v>
      </c>
      <c r="C74" s="5">
        <v>0</v>
      </c>
      <c r="D74" s="5">
        <v>0.10714285714285714</v>
      </c>
      <c r="E74" s="5">
        <v>5.3571428571428568E-2</v>
      </c>
      <c r="N74" s="5">
        <v>0.8392857142857143</v>
      </c>
      <c r="O74" s="5">
        <v>0.125</v>
      </c>
      <c r="P74" s="5">
        <v>3.5714285714285712E-2</v>
      </c>
      <c r="Q74" s="5">
        <v>0</v>
      </c>
      <c r="Z74" s="5">
        <v>0</v>
      </c>
      <c r="AA74" s="5">
        <v>0.66666666666666663</v>
      </c>
      <c r="AB74" s="5">
        <v>0.33333333333333331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</row>
    <row r="75" spans="2:36" x14ac:dyDescent="0.25">
      <c r="B75" s="5">
        <v>0.63636363636363635</v>
      </c>
      <c r="C75" s="5">
        <v>9.0909090909090912E-2</v>
      </c>
      <c r="D75" s="5">
        <v>0.18181818181818182</v>
      </c>
      <c r="E75" s="5">
        <v>9.0909090909090912E-2</v>
      </c>
      <c r="N75" s="5">
        <v>0.54545454545454541</v>
      </c>
      <c r="O75" s="5">
        <v>0.18181818181818182</v>
      </c>
      <c r="P75" s="5">
        <v>0.27272727272727271</v>
      </c>
      <c r="Q75" s="5">
        <v>0</v>
      </c>
      <c r="Z75" s="5">
        <v>0</v>
      </c>
      <c r="AA75" s="5">
        <v>1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</row>
    <row r="76" spans="2:36" x14ac:dyDescent="0.25">
      <c r="B76" s="5">
        <v>0.44444444444444442</v>
      </c>
      <c r="C76" s="5">
        <v>0.22222222222222221</v>
      </c>
      <c r="D76" s="5">
        <v>0.1111111111111111</v>
      </c>
      <c r="E76" s="5">
        <v>0.22222222222222221</v>
      </c>
      <c r="N76" s="5">
        <v>0.55555555555555558</v>
      </c>
      <c r="O76" s="5">
        <v>0.33333333333333331</v>
      </c>
      <c r="P76" s="5">
        <v>0</v>
      </c>
      <c r="Q76" s="5">
        <v>0.1111111111111111</v>
      </c>
      <c r="Z76" s="5">
        <v>0.33333333333333331</v>
      </c>
      <c r="AA76" s="5">
        <v>0.66666666666666663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</row>
    <row r="77" spans="2:36" x14ac:dyDescent="0.25">
      <c r="B77" s="5">
        <v>0.5</v>
      </c>
      <c r="C77" s="5">
        <v>0</v>
      </c>
      <c r="D77" s="5">
        <v>0.5</v>
      </c>
      <c r="E77" s="5">
        <v>0</v>
      </c>
      <c r="N77" s="5">
        <v>1</v>
      </c>
      <c r="O77" s="5">
        <v>0</v>
      </c>
      <c r="P77" s="5">
        <v>0</v>
      </c>
      <c r="Q77" s="5">
        <v>0</v>
      </c>
      <c r="Z77" s="5">
        <v>0.47058823529411764</v>
      </c>
      <c r="AA77" s="5">
        <v>0.29411764705882354</v>
      </c>
      <c r="AB77" s="5">
        <v>0.23529411764705882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</row>
    <row r="78" spans="2:36" x14ac:dyDescent="0.25">
      <c r="Z78" s="5">
        <v>0.29411764705882354</v>
      </c>
      <c r="AA78" s="5">
        <v>0.6470588235294118</v>
      </c>
      <c r="AB78" s="5">
        <v>0</v>
      </c>
      <c r="AC78" s="5">
        <v>5.8823529411764705E-2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</row>
    <row r="79" spans="2:36" x14ac:dyDescent="0.25">
      <c r="Z79" s="5">
        <v>0.4</v>
      </c>
      <c r="AA79" s="5">
        <v>0.43333333333333335</v>
      </c>
      <c r="AB79" s="5">
        <v>0.1</v>
      </c>
      <c r="AC79" s="5">
        <v>6.6666666666666666E-2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</row>
  </sheetData>
  <mergeCells count="2">
    <mergeCell ref="B1:K1"/>
    <mergeCell ref="N1:W1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B1:AP79"/>
  <sheetViews>
    <sheetView showGridLines="0" workbookViewId="0">
      <selection activeCell="B2" sqref="B1:AP1048576"/>
    </sheetView>
  </sheetViews>
  <sheetFormatPr defaultRowHeight="15" x14ac:dyDescent="0.25"/>
  <cols>
    <col min="1" max="1" width="2.42578125" customWidth="1"/>
    <col min="2" max="36" width="4.28515625" style="5" customWidth="1"/>
    <col min="37" max="42" width="4.28515625" customWidth="1"/>
  </cols>
  <sheetData>
    <row r="1" spans="2:42" x14ac:dyDescent="0.25">
      <c r="B1" s="203" t="s">
        <v>59</v>
      </c>
      <c r="C1" s="203"/>
      <c r="D1" s="203"/>
      <c r="E1" s="203"/>
      <c r="F1" s="203"/>
      <c r="G1" s="203"/>
      <c r="H1" s="203"/>
      <c r="I1" s="203"/>
      <c r="J1" s="203"/>
      <c r="K1" s="203"/>
      <c r="N1" s="203" t="s">
        <v>60</v>
      </c>
      <c r="O1" s="203"/>
      <c r="P1" s="203"/>
      <c r="Q1" s="203"/>
      <c r="R1" s="203"/>
      <c r="S1" s="203"/>
      <c r="T1" s="203"/>
      <c r="U1" s="203"/>
      <c r="V1" s="203"/>
      <c r="W1" s="203"/>
    </row>
    <row r="2" spans="2:42" x14ac:dyDescent="0.25">
      <c r="B2" s="5" t="s">
        <v>0</v>
      </c>
      <c r="N2" s="5" t="s">
        <v>0</v>
      </c>
    </row>
    <row r="3" spans="2:42" x14ac:dyDescent="0.25">
      <c r="B3" s="5">
        <v>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N3" s="5">
        <v>0.75862068965517238</v>
      </c>
      <c r="O3" s="5">
        <v>0.20689655172413793</v>
      </c>
      <c r="P3" s="5">
        <v>3.4482758620689655E-2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Z3" s="5" t="s">
        <v>158</v>
      </c>
    </row>
    <row r="4" spans="2:42" x14ac:dyDescent="0.25">
      <c r="B4" s="5">
        <v>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N4" s="5">
        <v>1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Z4" s="5">
        <v>0.89655172413793105</v>
      </c>
      <c r="AA4" s="5">
        <v>6.8965517241379309E-2</v>
      </c>
      <c r="AB4" s="5">
        <v>3.4482758620689655E-2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L4" s="5"/>
      <c r="AM4" s="5" t="s">
        <v>164</v>
      </c>
      <c r="AN4" s="5" t="s">
        <v>165</v>
      </c>
      <c r="AO4" s="5" t="s">
        <v>166</v>
      </c>
      <c r="AP4" s="5" t="s">
        <v>167</v>
      </c>
    </row>
    <row r="5" spans="2:42" x14ac:dyDescent="0.25">
      <c r="B5" s="5">
        <v>0.75</v>
      </c>
      <c r="C5" s="5">
        <v>0.125</v>
      </c>
      <c r="D5" s="5">
        <v>0.125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N5" s="5">
        <v>0.625</v>
      </c>
      <c r="O5" s="5">
        <v>0.25</v>
      </c>
      <c r="P5" s="5">
        <v>0.125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Z5" s="5">
        <v>0</v>
      </c>
      <c r="AA5" s="5">
        <v>1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L5" s="5">
        <v>1</v>
      </c>
      <c r="AM5" s="5">
        <v>3.048780487804878E-2</v>
      </c>
      <c r="AN5" s="5">
        <v>6.4935064935064939E-3</v>
      </c>
      <c r="AO5" s="5">
        <v>5.9523809523809521E-3</v>
      </c>
      <c r="AP5" s="5">
        <v>6.41025641025641E-3</v>
      </c>
    </row>
    <row r="6" spans="2:42" x14ac:dyDescent="0.25">
      <c r="B6" s="5">
        <v>0.4</v>
      </c>
      <c r="C6" s="5">
        <v>0.33333333333333331</v>
      </c>
      <c r="D6" s="5">
        <v>0.2</v>
      </c>
      <c r="E6" s="5">
        <v>6.6666666666666666E-2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N6" s="5">
        <v>0.53333333333333333</v>
      </c>
      <c r="O6" s="5">
        <v>0.26666666666666666</v>
      </c>
      <c r="P6" s="5">
        <v>0.2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Z6" s="5">
        <v>0.875</v>
      </c>
      <c r="AA6" s="5">
        <v>0</v>
      </c>
      <c r="AB6" s="5">
        <v>0.125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L6" s="5">
        <v>2</v>
      </c>
      <c r="AM6" s="5">
        <v>0.43902439024390244</v>
      </c>
      <c r="AN6" s="5">
        <v>0.20779220779220781</v>
      </c>
      <c r="AO6" s="5">
        <v>0</v>
      </c>
      <c r="AP6" s="5">
        <v>0</v>
      </c>
    </row>
    <row r="7" spans="2:42" x14ac:dyDescent="0.25">
      <c r="B7" s="5">
        <v>0.3888888888888889</v>
      </c>
      <c r="C7" s="5">
        <v>0.44444444444444442</v>
      </c>
      <c r="D7" s="5">
        <v>0.16666666666666666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N7" s="5">
        <v>0.55555555555555558</v>
      </c>
      <c r="O7" s="5">
        <v>0.22222222222222221</v>
      </c>
      <c r="P7" s="5">
        <v>0.22222222222222221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Z7" s="5">
        <v>0.66666666666666663</v>
      </c>
      <c r="AA7" s="5">
        <v>0.2</v>
      </c>
      <c r="AB7" s="5">
        <v>0.13333333333333333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L7" s="5">
        <v>3</v>
      </c>
      <c r="AM7" s="5">
        <v>5.4878048780487805E-2</v>
      </c>
      <c r="AN7" s="5">
        <v>6.4935064935064929E-2</v>
      </c>
      <c r="AO7" s="5">
        <v>0.11904761904761904</v>
      </c>
      <c r="AP7" s="5">
        <v>7.6923076923076927E-2</v>
      </c>
    </row>
    <row r="8" spans="2:42" x14ac:dyDescent="0.25">
      <c r="B8" s="5">
        <v>0</v>
      </c>
      <c r="C8" s="5">
        <v>0.6</v>
      </c>
      <c r="D8" s="5">
        <v>0.4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N8" s="5">
        <v>0.6</v>
      </c>
      <c r="O8" s="5">
        <v>0.4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Z8" s="5">
        <v>0.83333333333333337</v>
      </c>
      <c r="AA8" s="5">
        <v>5.5555555555555552E-2</v>
      </c>
      <c r="AB8" s="5">
        <v>0.1111111111111111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L8" s="5">
        <v>4</v>
      </c>
      <c r="AM8" s="5">
        <v>0.29878048780487804</v>
      </c>
      <c r="AN8" s="5">
        <v>0.33766233766233766</v>
      </c>
      <c r="AO8" s="5">
        <v>0.36904761904761907</v>
      </c>
      <c r="AP8" s="5">
        <v>0.25</v>
      </c>
    </row>
    <row r="9" spans="2:42" x14ac:dyDescent="0.25"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s="5">
        <v>1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L9" s="5">
        <v>5</v>
      </c>
      <c r="AM9" s="5">
        <v>0.17682926829268292</v>
      </c>
      <c r="AN9" s="5">
        <v>0.38311688311688313</v>
      </c>
      <c r="AO9" s="5">
        <v>0.50595238095238093</v>
      </c>
      <c r="AP9" s="5">
        <v>0.66666666666666663</v>
      </c>
    </row>
    <row r="10" spans="2:42" x14ac:dyDescent="0.25"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</row>
    <row r="11" spans="2:42" x14ac:dyDescent="0.25">
      <c r="B11" s="5">
        <v>0</v>
      </c>
      <c r="C11" s="5">
        <v>1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N11" s="5">
        <v>1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</row>
    <row r="12" spans="2:42" x14ac:dyDescent="0.25"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 s="5">
        <v>1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</row>
    <row r="13" spans="2:42" x14ac:dyDescent="0.25">
      <c r="B13" s="5">
        <v>1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N13" s="5">
        <v>1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</row>
    <row r="14" spans="2:42" x14ac:dyDescent="0.25">
      <c r="Z14" s="5">
        <v>1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</row>
    <row r="15" spans="2:42" x14ac:dyDescent="0.25">
      <c r="B15" s="5" t="s">
        <v>1</v>
      </c>
      <c r="N15" s="5" t="s">
        <v>1</v>
      </c>
    </row>
    <row r="16" spans="2:42" x14ac:dyDescent="0.25"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 s="5" t="s">
        <v>159</v>
      </c>
    </row>
    <row r="17" spans="2:36" x14ac:dyDescent="0.25"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 s="5">
        <v>0.62068965517241381</v>
      </c>
      <c r="AA17" s="5">
        <v>0.27586206896551724</v>
      </c>
      <c r="AB17" s="5">
        <v>0.10344827586206896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</row>
    <row r="18" spans="2:36" x14ac:dyDescent="0.25"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 s="5">
        <v>0</v>
      </c>
      <c r="AA18" s="5">
        <v>0</v>
      </c>
      <c r="AB18" s="5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</row>
    <row r="19" spans="2:36" x14ac:dyDescent="0.25">
      <c r="B19" s="5">
        <v>0</v>
      </c>
      <c r="C19" s="5">
        <v>0</v>
      </c>
      <c r="D19" s="5">
        <v>0</v>
      </c>
      <c r="E19" s="5">
        <v>0</v>
      </c>
      <c r="F19" s="5">
        <v>1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N19" s="5">
        <v>0</v>
      </c>
      <c r="O19" s="5">
        <v>0</v>
      </c>
      <c r="P19" s="5">
        <v>1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 s="5">
        <v>0.5</v>
      </c>
      <c r="AA19" s="5">
        <v>0.375</v>
      </c>
      <c r="AB19" s="5">
        <v>0.125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</row>
    <row r="20" spans="2:36" x14ac:dyDescent="0.25">
      <c r="B20" s="5">
        <v>0</v>
      </c>
      <c r="C20" s="5">
        <v>0</v>
      </c>
      <c r="D20" s="5">
        <v>1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N20" s="5">
        <v>1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 s="5">
        <v>0.6</v>
      </c>
      <c r="AA20" s="5">
        <v>0.26666666666666666</v>
      </c>
      <c r="AB20" s="5">
        <v>0.13333333333333333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</row>
    <row r="21" spans="2:36" x14ac:dyDescent="0.25">
      <c r="B21" s="5">
        <v>0.66666666666666663</v>
      </c>
      <c r="C21" s="5">
        <v>0</v>
      </c>
      <c r="D21" s="5">
        <v>0.33333333333333331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N21" s="5">
        <v>0.66666666666666663</v>
      </c>
      <c r="O21" s="5">
        <v>0.33333333333333331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 s="5">
        <v>0.72222222222222221</v>
      </c>
      <c r="AA21" s="5">
        <v>0.27777777777777779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</row>
    <row r="22" spans="2:36" x14ac:dyDescent="0.25">
      <c r="B22" s="5">
        <v>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N22" s="5">
        <v>0</v>
      </c>
      <c r="O22" s="5">
        <v>1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 s="5">
        <v>0.8</v>
      </c>
      <c r="AA22" s="5">
        <v>0.2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</row>
    <row r="23" spans="2:36" x14ac:dyDescent="0.25">
      <c r="B23" s="5">
        <v>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N23" s="5">
        <v>0.66666666666666663</v>
      </c>
      <c r="O23" s="5">
        <v>0.33333333333333331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</row>
    <row r="24" spans="2:36" x14ac:dyDescent="0.25">
      <c r="B24" s="5">
        <v>0.29411764705882354</v>
      </c>
      <c r="C24" s="5">
        <v>0.41176470588235292</v>
      </c>
      <c r="D24" s="5">
        <v>0.23529411764705882</v>
      </c>
      <c r="E24" s="5">
        <v>5.8823529411764705E-2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N24" s="5">
        <v>0.52941176470588236</v>
      </c>
      <c r="O24" s="5">
        <v>0.23529411764705882</v>
      </c>
      <c r="P24" s="5">
        <v>0.11764705882352941</v>
      </c>
      <c r="Q24" s="5">
        <v>0.11764705882352941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</row>
    <row r="25" spans="2:36" x14ac:dyDescent="0.25">
      <c r="B25" s="5">
        <v>0.29411764705882354</v>
      </c>
      <c r="C25" s="5">
        <v>0.17647058823529413</v>
      </c>
      <c r="D25" s="5">
        <v>0.35294117647058826</v>
      </c>
      <c r="E25" s="5">
        <v>0.17647058823529413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N25" s="5">
        <v>0.29411764705882354</v>
      </c>
      <c r="O25" s="5">
        <v>0.58823529411764708</v>
      </c>
      <c r="P25" s="5">
        <v>5.8823529411764705E-2</v>
      </c>
      <c r="Q25" s="5">
        <v>5.8823529411764705E-2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 s="5">
        <v>1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</row>
    <row r="26" spans="2:36" x14ac:dyDescent="0.25">
      <c r="B26" s="5">
        <v>0.43333333333333335</v>
      </c>
      <c r="C26" s="5">
        <v>0.23333333333333334</v>
      </c>
      <c r="D26" s="5">
        <v>0.13333333333333333</v>
      </c>
      <c r="E26" s="5">
        <v>0.13333333333333333</v>
      </c>
      <c r="F26" s="5">
        <v>6.6666666666666666E-2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N26" s="5">
        <v>0.46666666666666667</v>
      </c>
      <c r="O26" s="5">
        <v>0.3</v>
      </c>
      <c r="P26" s="5">
        <v>0.13333333333333333</v>
      </c>
      <c r="Q26" s="5">
        <v>0</v>
      </c>
      <c r="R26" s="5">
        <v>3.3333333333333333E-2</v>
      </c>
      <c r="S26" s="5">
        <v>3.3333333333333333E-2</v>
      </c>
      <c r="T26" s="5">
        <v>3.3333333333333333E-2</v>
      </c>
      <c r="U26" s="5">
        <v>0</v>
      </c>
      <c r="V26" s="5">
        <v>0</v>
      </c>
      <c r="W26" s="5">
        <v>0</v>
      </c>
      <c r="X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</row>
    <row r="27" spans="2:36" x14ac:dyDescent="0.25">
      <c r="Z27" s="5">
        <v>1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</row>
    <row r="28" spans="2:36" x14ac:dyDescent="0.25">
      <c r="B28" s="5" t="s">
        <v>3</v>
      </c>
      <c r="N28" s="5" t="s">
        <v>3</v>
      </c>
    </row>
    <row r="29" spans="2:36" x14ac:dyDescent="0.25">
      <c r="B29" s="5">
        <v>7.1428571428571425E-2</v>
      </c>
      <c r="C29" s="5">
        <v>0.7142857142857143</v>
      </c>
      <c r="D29" s="5">
        <v>0.21428571428571427</v>
      </c>
      <c r="E29" s="5">
        <v>0</v>
      </c>
      <c r="N29" s="5">
        <v>0</v>
      </c>
      <c r="O29" s="5">
        <v>0.42857142857142855</v>
      </c>
      <c r="P29" s="5">
        <v>0.42857142857142855</v>
      </c>
      <c r="Q29" s="5">
        <v>0.14285714285714285</v>
      </c>
      <c r="Z29" s="5" t="s">
        <v>160</v>
      </c>
    </row>
    <row r="30" spans="2:36" x14ac:dyDescent="0.25">
      <c r="B30" s="5">
        <v>0</v>
      </c>
      <c r="C30" s="5">
        <v>0.54347826086956519</v>
      </c>
      <c r="D30" s="5">
        <v>0.39130434782608697</v>
      </c>
      <c r="E30" s="5">
        <v>6.5217391304347824E-2</v>
      </c>
      <c r="N30" s="5">
        <v>0</v>
      </c>
      <c r="O30" s="5">
        <v>0.28260869565217389</v>
      </c>
      <c r="P30" s="5">
        <v>0.2608695652173913</v>
      </c>
      <c r="Q30" s="5">
        <v>0.45652173913043476</v>
      </c>
      <c r="Z30" s="5">
        <v>0.44827586206896552</v>
      </c>
      <c r="AA30" s="5">
        <v>0.31034482758620691</v>
      </c>
      <c r="AB30" s="5">
        <v>0.2413793103448276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</row>
    <row r="31" spans="2:36" x14ac:dyDescent="0.25">
      <c r="B31" s="5">
        <v>0</v>
      </c>
      <c r="C31" s="5">
        <v>0.27777777777777779</v>
      </c>
      <c r="D31" s="5">
        <v>0.61111111111111116</v>
      </c>
      <c r="E31" s="5">
        <v>0.1111111111111111</v>
      </c>
      <c r="N31" s="5">
        <v>0</v>
      </c>
      <c r="O31" s="5">
        <v>0.22222222222222221</v>
      </c>
      <c r="P31" s="5">
        <v>0.3888888888888889</v>
      </c>
      <c r="Q31" s="5">
        <v>0.3888888888888889</v>
      </c>
      <c r="Z31" s="5">
        <v>0</v>
      </c>
      <c r="AA31" s="5">
        <v>1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</row>
    <row r="32" spans="2:36" x14ac:dyDescent="0.25">
      <c r="B32" s="5">
        <v>0</v>
      </c>
      <c r="C32" s="5">
        <v>0</v>
      </c>
      <c r="D32" s="5">
        <v>0</v>
      </c>
      <c r="E32" s="5">
        <v>0</v>
      </c>
      <c r="N32" s="5">
        <v>0</v>
      </c>
      <c r="O32" s="5">
        <v>0</v>
      </c>
      <c r="P32" s="5">
        <v>0</v>
      </c>
      <c r="Q32" s="5">
        <v>0</v>
      </c>
      <c r="Z32" s="5">
        <v>0.25</v>
      </c>
      <c r="AA32" s="5">
        <v>0.625</v>
      </c>
      <c r="AB32" s="5">
        <v>0.125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</row>
    <row r="33" spans="2:36" x14ac:dyDescent="0.25">
      <c r="Z33" s="5">
        <v>0.4</v>
      </c>
      <c r="AA33" s="5">
        <v>0.33333333333333331</v>
      </c>
      <c r="AB33" s="5">
        <v>0.13333333333333333</v>
      </c>
      <c r="AC33" s="5">
        <v>0.13333333333333333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</row>
    <row r="34" spans="2:36" x14ac:dyDescent="0.25">
      <c r="B34" s="5" t="s">
        <v>4</v>
      </c>
      <c r="N34" s="5" t="s">
        <v>4</v>
      </c>
      <c r="Z34" s="5">
        <v>0.44444444444444442</v>
      </c>
      <c r="AA34" s="5">
        <v>0.3888888888888889</v>
      </c>
      <c r="AB34" s="5">
        <v>0.1111111111111111</v>
      </c>
      <c r="AC34" s="5">
        <v>5.5555555555555552E-2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</row>
    <row r="35" spans="2:36" x14ac:dyDescent="0.25">
      <c r="B35" s="5">
        <v>0.1111111111111111</v>
      </c>
      <c r="C35" s="5">
        <v>0.22222222222222221</v>
      </c>
      <c r="D35" s="5">
        <v>0.66666666666666663</v>
      </c>
      <c r="E35" s="5">
        <v>0</v>
      </c>
      <c r="N35" s="5">
        <v>0</v>
      </c>
      <c r="O35" s="5">
        <v>0.22222222222222221</v>
      </c>
      <c r="P35" s="5">
        <v>0.55555555555555558</v>
      </c>
      <c r="Q35" s="5">
        <v>0.22222222222222221</v>
      </c>
      <c r="Z35" s="5">
        <v>0.8</v>
      </c>
      <c r="AA35" s="5">
        <v>0.2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</row>
    <row r="36" spans="2:36" x14ac:dyDescent="0.25">
      <c r="B36" s="5">
        <v>0</v>
      </c>
      <c r="C36" s="5">
        <v>0.56756756756756754</v>
      </c>
      <c r="D36" s="5">
        <v>0.3783783783783784</v>
      </c>
      <c r="E36" s="5">
        <v>5.4054054054054057E-2</v>
      </c>
      <c r="N36" s="5">
        <v>0</v>
      </c>
      <c r="O36" s="5">
        <v>0.27027027027027029</v>
      </c>
      <c r="P36" s="5">
        <v>0.24324324324324326</v>
      </c>
      <c r="Q36" s="5">
        <v>0.48648648648648651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</row>
    <row r="37" spans="2:36" x14ac:dyDescent="0.25">
      <c r="B37" s="5">
        <v>0</v>
      </c>
      <c r="C37" s="5">
        <v>0.23076923076923078</v>
      </c>
      <c r="D37" s="5">
        <v>0.57692307692307687</v>
      </c>
      <c r="E37" s="5">
        <v>0.19230769230769232</v>
      </c>
      <c r="N37" s="5">
        <v>0</v>
      </c>
      <c r="O37" s="5">
        <v>0.34615384615384615</v>
      </c>
      <c r="P37" s="5">
        <v>0.23076923076923078</v>
      </c>
      <c r="Q37" s="5">
        <v>0.42307692307692307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</row>
    <row r="38" spans="2:36" x14ac:dyDescent="0.25">
      <c r="B38" s="5">
        <v>0</v>
      </c>
      <c r="C38" s="5">
        <v>0</v>
      </c>
      <c r="D38" s="5">
        <v>0.66666666666666663</v>
      </c>
      <c r="E38" s="5">
        <v>0.33333333333333331</v>
      </c>
      <c r="N38" s="5">
        <v>0</v>
      </c>
      <c r="O38" s="5">
        <v>0.16666666666666666</v>
      </c>
      <c r="P38" s="5">
        <v>0.33333333333333331</v>
      </c>
      <c r="Q38" s="5">
        <v>0.5</v>
      </c>
      <c r="Z38" s="5">
        <v>1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</row>
    <row r="39" spans="2:36" x14ac:dyDescent="0.25"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</row>
    <row r="40" spans="2:36" x14ac:dyDescent="0.25">
      <c r="B40" s="5" t="s">
        <v>5</v>
      </c>
      <c r="N40" s="5" t="s">
        <v>5</v>
      </c>
      <c r="Z40" s="5">
        <v>1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</row>
    <row r="41" spans="2:36" x14ac:dyDescent="0.25">
      <c r="B41" s="5">
        <v>0.20833333333333334</v>
      </c>
      <c r="C41" s="5">
        <v>0.58333333333333337</v>
      </c>
      <c r="D41" s="5">
        <v>0.16666666666666666</v>
      </c>
      <c r="E41" s="5">
        <v>4.1666666666666664E-2</v>
      </c>
      <c r="N41" s="5">
        <v>0.125</v>
      </c>
      <c r="O41" s="5">
        <v>0.16666666666666666</v>
      </c>
      <c r="P41" s="5">
        <v>0.33333333333333331</v>
      </c>
      <c r="Q41" s="5">
        <v>0.375</v>
      </c>
    </row>
    <row r="42" spans="2:36" x14ac:dyDescent="0.25">
      <c r="B42" s="5">
        <v>4.1666666666666664E-2</v>
      </c>
      <c r="C42" s="5">
        <v>0.5625</v>
      </c>
      <c r="D42" s="5">
        <v>0.33333333333333331</v>
      </c>
      <c r="E42" s="5">
        <v>6.25E-2</v>
      </c>
      <c r="N42" s="5">
        <v>4.1666666666666664E-2</v>
      </c>
      <c r="O42" s="5">
        <v>0.125</v>
      </c>
      <c r="P42" s="5">
        <v>0.35416666666666669</v>
      </c>
      <c r="Q42" s="5">
        <v>0.47916666666666669</v>
      </c>
      <c r="Z42" s="5" t="s">
        <v>161</v>
      </c>
    </row>
    <row r="43" spans="2:36" x14ac:dyDescent="0.25">
      <c r="B43" s="5">
        <v>0</v>
      </c>
      <c r="C43" s="5">
        <v>0.2</v>
      </c>
      <c r="D43" s="5">
        <v>0.6</v>
      </c>
      <c r="E43" s="5">
        <v>0.2</v>
      </c>
      <c r="N43" s="5">
        <v>0</v>
      </c>
      <c r="O43" s="5">
        <v>0</v>
      </c>
      <c r="P43" s="5">
        <v>0.6</v>
      </c>
      <c r="Q43" s="5">
        <v>0.4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</row>
    <row r="44" spans="2:36" x14ac:dyDescent="0.25">
      <c r="B44" s="5">
        <v>0</v>
      </c>
      <c r="C44" s="5">
        <v>0</v>
      </c>
      <c r="D44" s="5">
        <v>0</v>
      </c>
      <c r="E44" s="5">
        <v>1</v>
      </c>
      <c r="N44" s="5">
        <v>0</v>
      </c>
      <c r="O44" s="5">
        <v>0</v>
      </c>
      <c r="P44" s="5">
        <v>1</v>
      </c>
      <c r="Q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</row>
    <row r="45" spans="2:36" x14ac:dyDescent="0.25"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</row>
    <row r="46" spans="2:36" x14ac:dyDescent="0.25">
      <c r="B46" s="5" t="s">
        <v>6</v>
      </c>
      <c r="N46" s="5" t="s">
        <v>6</v>
      </c>
      <c r="Z46" s="5">
        <v>0</v>
      </c>
      <c r="AA46" s="5">
        <v>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</row>
    <row r="47" spans="2:36" x14ac:dyDescent="0.25">
      <c r="B47" s="5">
        <v>1</v>
      </c>
      <c r="C47" s="5">
        <v>0</v>
      </c>
      <c r="D47" s="5">
        <v>0</v>
      </c>
      <c r="E47" s="5">
        <v>0</v>
      </c>
      <c r="F47" s="5">
        <v>0</v>
      </c>
      <c r="N47" s="5">
        <v>1</v>
      </c>
      <c r="O47" s="5">
        <v>0</v>
      </c>
      <c r="P47" s="5">
        <v>0</v>
      </c>
      <c r="Q47" s="5">
        <v>0</v>
      </c>
      <c r="R47" s="5">
        <v>0</v>
      </c>
      <c r="Z47" s="5">
        <v>1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</row>
    <row r="48" spans="2:36" x14ac:dyDescent="0.25">
      <c r="B48" s="5">
        <v>0.19047619047619047</v>
      </c>
      <c r="C48" s="5">
        <v>0.52380952380952384</v>
      </c>
      <c r="D48" s="5">
        <v>0.2857142857142857</v>
      </c>
      <c r="E48" s="5">
        <v>0</v>
      </c>
      <c r="F48" s="5">
        <v>0</v>
      </c>
      <c r="N48" s="5">
        <v>4.7619047619047616E-2</v>
      </c>
      <c r="O48" s="5">
        <v>0.5714285714285714</v>
      </c>
      <c r="P48" s="5">
        <v>0.38095238095238093</v>
      </c>
      <c r="Q48" s="5">
        <v>0</v>
      </c>
      <c r="R48" s="5">
        <v>0</v>
      </c>
      <c r="Z48" s="5">
        <v>0.66666666666666663</v>
      </c>
      <c r="AA48" s="5">
        <v>0.33333333333333331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</row>
    <row r="49" spans="2:36" x14ac:dyDescent="0.25">
      <c r="B49" s="5">
        <v>8.8235294117647065E-2</v>
      </c>
      <c r="C49" s="5">
        <v>0.67647058823529416</v>
      </c>
      <c r="D49" s="5">
        <v>0.20588235294117646</v>
      </c>
      <c r="E49" s="5">
        <v>0</v>
      </c>
      <c r="F49" s="5">
        <v>2.9411764705882353E-2</v>
      </c>
      <c r="N49" s="5">
        <v>0.17647058823529413</v>
      </c>
      <c r="O49" s="5">
        <v>0.61764705882352944</v>
      </c>
      <c r="P49" s="5">
        <v>0.20588235294117646</v>
      </c>
      <c r="Q49" s="5">
        <v>0</v>
      </c>
      <c r="R49" s="5">
        <v>0</v>
      </c>
      <c r="Z49" s="5">
        <v>0</v>
      </c>
      <c r="AA49" s="5">
        <v>1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</row>
    <row r="50" spans="2:36" x14ac:dyDescent="0.25">
      <c r="B50" s="5">
        <v>0.125</v>
      </c>
      <c r="C50" s="5">
        <v>0.75</v>
      </c>
      <c r="D50" s="5">
        <v>6.25E-2</v>
      </c>
      <c r="E50" s="5">
        <v>0</v>
      </c>
      <c r="F50" s="5">
        <v>6.25E-2</v>
      </c>
      <c r="N50" s="5">
        <v>0</v>
      </c>
      <c r="O50" s="5">
        <v>0.6875</v>
      </c>
      <c r="P50" s="5">
        <v>0.3125</v>
      </c>
      <c r="Q50" s="5">
        <v>0</v>
      </c>
      <c r="R50" s="5">
        <v>0</v>
      </c>
      <c r="Z50" s="5">
        <v>0.33333333333333331</v>
      </c>
      <c r="AA50" s="5">
        <v>0.33333333333333331</v>
      </c>
      <c r="AB50" s="5">
        <v>0.33333333333333331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</row>
    <row r="51" spans="2:36" x14ac:dyDescent="0.25">
      <c r="B51" s="5">
        <v>0</v>
      </c>
      <c r="C51" s="5">
        <v>0.66666666666666663</v>
      </c>
      <c r="D51" s="5">
        <v>0.16666666666666666</v>
      </c>
      <c r="E51" s="5">
        <v>0</v>
      </c>
      <c r="F51" s="5">
        <v>0.16666666666666666</v>
      </c>
      <c r="N51" s="5">
        <v>0.33333333333333331</v>
      </c>
      <c r="O51" s="5">
        <v>0.16666666666666666</v>
      </c>
      <c r="P51" s="5">
        <v>0.5</v>
      </c>
      <c r="Q51" s="5">
        <v>0</v>
      </c>
      <c r="R51" s="5">
        <v>0</v>
      </c>
      <c r="Z51" s="5">
        <v>0.41176470588235292</v>
      </c>
      <c r="AA51" s="5">
        <v>0.41176470588235292</v>
      </c>
      <c r="AB51" s="5">
        <v>0.17647058823529413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</row>
    <row r="52" spans="2:36" x14ac:dyDescent="0.25">
      <c r="Z52" s="5">
        <v>0.35294117647058826</v>
      </c>
      <c r="AA52" s="5">
        <v>0.47058823529411764</v>
      </c>
      <c r="AB52" s="5">
        <v>0.11764705882352941</v>
      </c>
      <c r="AC52" s="5">
        <v>5.8823529411764705E-2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</row>
    <row r="53" spans="2:36" x14ac:dyDescent="0.25">
      <c r="B53" s="5" t="s">
        <v>16</v>
      </c>
      <c r="N53" s="5" t="s">
        <v>16</v>
      </c>
      <c r="Z53" s="5">
        <v>0.4</v>
      </c>
      <c r="AA53" s="5">
        <v>0.46666666666666667</v>
      </c>
      <c r="AB53" s="5">
        <v>0</v>
      </c>
      <c r="AC53" s="5">
        <v>3.3333333333333333E-2</v>
      </c>
      <c r="AD53" s="5">
        <v>3.3333333333333333E-2</v>
      </c>
      <c r="AE53" s="5">
        <v>3.3333333333333333E-2</v>
      </c>
      <c r="AF53" s="5">
        <v>0</v>
      </c>
      <c r="AG53" s="5">
        <v>0</v>
      </c>
      <c r="AH53" s="5">
        <v>3.3333333333333333E-2</v>
      </c>
      <c r="AI53" s="5">
        <v>0</v>
      </c>
      <c r="AJ53" s="5">
        <v>0</v>
      </c>
    </row>
    <row r="54" spans="2:36" x14ac:dyDescent="0.25">
      <c r="B54" s="5">
        <v>0.81132075471698117</v>
      </c>
      <c r="C54" s="5">
        <v>1.8867924528301886E-2</v>
      </c>
      <c r="D54" s="5">
        <v>0.16981132075471697</v>
      </c>
      <c r="N54" s="5">
        <v>0.84905660377358494</v>
      </c>
      <c r="O54" s="5">
        <v>0.11320754716981132</v>
      </c>
      <c r="P54" s="5">
        <v>3.7735849056603772E-2</v>
      </c>
    </row>
    <row r="55" spans="2:36" x14ac:dyDescent="0.25">
      <c r="B55" s="5">
        <v>0.625</v>
      </c>
      <c r="C55" s="5">
        <v>6.25E-2</v>
      </c>
      <c r="D55" s="5">
        <v>0.3125</v>
      </c>
      <c r="N55" s="5">
        <v>0.75</v>
      </c>
      <c r="O55" s="5">
        <v>0.1875</v>
      </c>
      <c r="P55" s="5">
        <v>6.25E-2</v>
      </c>
      <c r="Z55" s="5" t="s">
        <v>163</v>
      </c>
    </row>
    <row r="56" spans="2:36" x14ac:dyDescent="0.25">
      <c r="B56" s="5">
        <v>0.33333333333333331</v>
      </c>
      <c r="C56" s="5">
        <v>0.33333333333333331</v>
      </c>
      <c r="D56" s="5">
        <v>0.33333333333333331</v>
      </c>
      <c r="N56" s="5">
        <v>0.55555555555555558</v>
      </c>
      <c r="O56" s="5">
        <v>0.33333333333333331</v>
      </c>
      <c r="P56" s="5">
        <v>0.1111111111111111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</row>
    <row r="57" spans="2:36" x14ac:dyDescent="0.25"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</row>
    <row r="58" spans="2:36" x14ac:dyDescent="0.25">
      <c r="B58" s="5" t="s">
        <v>17</v>
      </c>
      <c r="N58" s="5" t="s">
        <v>17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</row>
    <row r="59" spans="2:36" x14ac:dyDescent="0.25">
      <c r="B59" s="5">
        <v>0.67441860465116277</v>
      </c>
      <c r="C59" s="5">
        <v>0.23255813953488372</v>
      </c>
      <c r="D59" s="5">
        <v>9.3023255813953487E-2</v>
      </c>
      <c r="N59" s="5">
        <v>0.81395348837209303</v>
      </c>
      <c r="O59" s="5">
        <v>0.16279069767441862</v>
      </c>
      <c r="P59" s="5">
        <v>2.3255813953488372E-2</v>
      </c>
      <c r="Z59" s="5">
        <v>1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</row>
    <row r="60" spans="2:36" x14ac:dyDescent="0.25">
      <c r="B60" s="5">
        <v>0.56521739130434778</v>
      </c>
      <c r="C60" s="5">
        <v>0.13043478260869565</v>
      </c>
      <c r="D60" s="5">
        <v>0.30434782608695654</v>
      </c>
      <c r="N60" s="5">
        <v>0.69565217391304346</v>
      </c>
      <c r="O60" s="5">
        <v>0.17391304347826086</v>
      </c>
      <c r="P60" s="5">
        <v>0.13043478260869565</v>
      </c>
      <c r="Z60" s="5">
        <v>1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</row>
    <row r="61" spans="2:36" x14ac:dyDescent="0.25">
      <c r="B61" s="5">
        <v>0.33333333333333331</v>
      </c>
      <c r="C61" s="5">
        <v>0.33333333333333331</v>
      </c>
      <c r="D61" s="5">
        <v>0.33333333333333331</v>
      </c>
      <c r="N61" s="5">
        <v>0.58333333333333337</v>
      </c>
      <c r="O61" s="5">
        <v>0.41666666666666669</v>
      </c>
      <c r="P61" s="5">
        <v>0</v>
      </c>
      <c r="Z61" s="5">
        <v>0.66666666666666663</v>
      </c>
      <c r="AA61" s="5">
        <v>0.33333333333333331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</row>
    <row r="62" spans="2:36" x14ac:dyDescent="0.25">
      <c r="Z62" s="5">
        <v>0</v>
      </c>
      <c r="AA62" s="5">
        <v>1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</row>
    <row r="63" spans="2:36" x14ac:dyDescent="0.25">
      <c r="B63" s="5" t="s">
        <v>7</v>
      </c>
      <c r="N63" s="5" t="s">
        <v>7</v>
      </c>
      <c r="Z63" s="5">
        <v>0.33333333333333331</v>
      </c>
      <c r="AA63" s="5">
        <v>0.33333333333333331</v>
      </c>
      <c r="AB63" s="5">
        <v>0.33333333333333331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</row>
    <row r="64" spans="2:36" x14ac:dyDescent="0.25">
      <c r="B64" s="5">
        <v>0.36842105263157893</v>
      </c>
      <c r="C64" s="5">
        <v>0.42105263157894735</v>
      </c>
      <c r="D64" s="5">
        <v>0.21052631578947367</v>
      </c>
      <c r="N64" s="5">
        <v>0.42105263157894735</v>
      </c>
      <c r="O64" s="5">
        <v>0.47368421052631576</v>
      </c>
      <c r="P64" s="5">
        <v>0.10526315789473684</v>
      </c>
      <c r="Z64" s="5">
        <v>0.47058823529411764</v>
      </c>
      <c r="AA64" s="5">
        <v>0.41176470588235292</v>
      </c>
      <c r="AB64" s="5">
        <v>0.11764705882352941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</row>
    <row r="65" spans="2:36" x14ac:dyDescent="0.25">
      <c r="B65" s="5">
        <v>0.32</v>
      </c>
      <c r="C65" s="5">
        <v>0.4</v>
      </c>
      <c r="D65" s="5">
        <v>0.28000000000000003</v>
      </c>
      <c r="N65" s="5">
        <v>0.36</v>
      </c>
      <c r="O65" s="5">
        <v>0.52</v>
      </c>
      <c r="P65" s="5">
        <v>0.12</v>
      </c>
      <c r="Z65" s="5">
        <v>0.35294117647058826</v>
      </c>
      <c r="AA65" s="5">
        <v>0.52941176470588236</v>
      </c>
      <c r="AB65" s="5">
        <v>5.8823529411764705E-2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5.8823529411764705E-2</v>
      </c>
      <c r="AI65" s="5">
        <v>0</v>
      </c>
      <c r="AJ65" s="5">
        <v>0</v>
      </c>
    </row>
    <row r="66" spans="2:36" x14ac:dyDescent="0.25">
      <c r="B66" s="5">
        <v>0.38235294117647056</v>
      </c>
      <c r="C66" s="5">
        <v>0.23529411764705882</v>
      </c>
      <c r="D66" s="5">
        <v>0.38235294117647056</v>
      </c>
      <c r="N66" s="5">
        <v>0.3235294117647059</v>
      </c>
      <c r="O66" s="5">
        <v>0.58823529411764708</v>
      </c>
      <c r="P66" s="5">
        <v>8.8235294117647065E-2</v>
      </c>
      <c r="Z66" s="5">
        <v>0.4</v>
      </c>
      <c r="AA66" s="5">
        <v>0.36666666666666664</v>
      </c>
      <c r="AB66" s="5">
        <v>0.13333333333333333</v>
      </c>
      <c r="AC66" s="5">
        <v>3.3333333333333333E-2</v>
      </c>
      <c r="AD66" s="5">
        <v>0</v>
      </c>
      <c r="AE66" s="5">
        <v>0</v>
      </c>
      <c r="AF66" s="5">
        <v>3.3333333333333333E-2</v>
      </c>
      <c r="AG66" s="5">
        <v>0</v>
      </c>
      <c r="AH66" s="5">
        <v>3.3333333333333333E-2</v>
      </c>
      <c r="AI66" s="5">
        <v>0</v>
      </c>
      <c r="AJ66" s="5">
        <v>0</v>
      </c>
    </row>
    <row r="68" spans="2:36" x14ac:dyDescent="0.25">
      <c r="B68" s="5" t="s">
        <v>8</v>
      </c>
      <c r="N68" s="5" t="s">
        <v>8</v>
      </c>
      <c r="Z68" s="5" t="s">
        <v>162</v>
      </c>
    </row>
    <row r="69" spans="2:36" x14ac:dyDescent="0.25">
      <c r="B69" s="5">
        <v>0.16666666666666666</v>
      </c>
      <c r="C69" s="5">
        <v>0.33333333333333331</v>
      </c>
      <c r="D69" s="5">
        <v>0.5</v>
      </c>
      <c r="N69" s="5">
        <v>0.16666666666666666</v>
      </c>
      <c r="O69" s="5">
        <v>0.66666666666666663</v>
      </c>
      <c r="P69" s="5">
        <v>0.16666666666666666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</row>
    <row r="70" spans="2:36" x14ac:dyDescent="0.25">
      <c r="B70" s="5">
        <v>0</v>
      </c>
      <c r="C70" s="5">
        <v>0.33333333333333331</v>
      </c>
      <c r="D70" s="5">
        <v>0.66666666666666663</v>
      </c>
      <c r="N70" s="5">
        <v>0.33333333333333331</v>
      </c>
      <c r="O70" s="5">
        <v>0.44444444444444442</v>
      </c>
      <c r="P70" s="5">
        <v>0.22222222222222221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</row>
    <row r="71" spans="2:36" x14ac:dyDescent="0.25">
      <c r="B71" s="5">
        <v>9.5238095238095233E-2</v>
      </c>
      <c r="C71" s="5">
        <v>0.23809523809523808</v>
      </c>
      <c r="D71" s="5">
        <v>0.66666666666666663</v>
      </c>
      <c r="N71" s="5">
        <v>0.2857142857142857</v>
      </c>
      <c r="O71" s="5">
        <v>0.47619047619047616</v>
      </c>
      <c r="P71" s="5">
        <v>0.23809523809523808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</row>
    <row r="72" spans="2:36" x14ac:dyDescent="0.25">
      <c r="Z72" s="5">
        <v>1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</row>
    <row r="73" spans="2:36" x14ac:dyDescent="0.25">
      <c r="B73" s="5" t="s">
        <v>10</v>
      </c>
      <c r="N73" s="5" t="s">
        <v>10</v>
      </c>
      <c r="Z73" s="5">
        <v>1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</row>
    <row r="74" spans="2:36" x14ac:dyDescent="0.25">
      <c r="B74" s="5">
        <v>0.8392857142857143</v>
      </c>
      <c r="C74" s="5">
        <v>0</v>
      </c>
      <c r="D74" s="5">
        <v>0.10714285714285714</v>
      </c>
      <c r="E74" s="5">
        <v>5.3571428571428568E-2</v>
      </c>
      <c r="N74" s="5">
        <v>0.8392857142857143</v>
      </c>
      <c r="O74" s="5">
        <v>0.125</v>
      </c>
      <c r="P74" s="5">
        <v>3.5714285714285712E-2</v>
      </c>
      <c r="Q74" s="5">
        <v>0</v>
      </c>
      <c r="Z74" s="5">
        <v>0</v>
      </c>
      <c r="AA74" s="5">
        <v>0.66666666666666663</v>
      </c>
      <c r="AB74" s="5">
        <v>0.33333333333333331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</row>
    <row r="75" spans="2:36" x14ac:dyDescent="0.25">
      <c r="B75" s="5">
        <v>0.63636363636363635</v>
      </c>
      <c r="C75" s="5">
        <v>9.0909090909090912E-2</v>
      </c>
      <c r="D75" s="5">
        <v>0.18181818181818182</v>
      </c>
      <c r="E75" s="5">
        <v>9.0909090909090912E-2</v>
      </c>
      <c r="N75" s="5">
        <v>0.54545454545454541</v>
      </c>
      <c r="O75" s="5">
        <v>0.18181818181818182</v>
      </c>
      <c r="P75" s="5">
        <v>0.27272727272727271</v>
      </c>
      <c r="Q75" s="5">
        <v>0</v>
      </c>
      <c r="Z75" s="5">
        <v>0</v>
      </c>
      <c r="AA75" s="5">
        <v>1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</row>
    <row r="76" spans="2:36" x14ac:dyDescent="0.25">
      <c r="B76" s="5">
        <v>0.44444444444444442</v>
      </c>
      <c r="C76" s="5">
        <v>0.22222222222222221</v>
      </c>
      <c r="D76" s="5">
        <v>0.1111111111111111</v>
      </c>
      <c r="E76" s="5">
        <v>0.22222222222222221</v>
      </c>
      <c r="N76" s="5">
        <v>0.55555555555555558</v>
      </c>
      <c r="O76" s="5">
        <v>0.33333333333333331</v>
      </c>
      <c r="P76" s="5">
        <v>0</v>
      </c>
      <c r="Q76" s="5">
        <v>0.1111111111111111</v>
      </c>
      <c r="Z76" s="5">
        <v>0.33333333333333331</v>
      </c>
      <c r="AA76" s="5">
        <v>0.66666666666666663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</row>
    <row r="77" spans="2:36" x14ac:dyDescent="0.25">
      <c r="B77" s="5">
        <v>0.5</v>
      </c>
      <c r="C77" s="5">
        <v>0</v>
      </c>
      <c r="D77" s="5">
        <v>0.5</v>
      </c>
      <c r="E77" s="5">
        <v>0</v>
      </c>
      <c r="N77" s="5">
        <v>1</v>
      </c>
      <c r="O77" s="5">
        <v>0</v>
      </c>
      <c r="P77" s="5">
        <v>0</v>
      </c>
      <c r="Q77" s="5">
        <v>0</v>
      </c>
      <c r="Z77" s="5">
        <v>0.47058823529411764</v>
      </c>
      <c r="AA77" s="5">
        <v>0.29411764705882354</v>
      </c>
      <c r="AB77" s="5">
        <v>0.23529411764705882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</row>
    <row r="78" spans="2:36" x14ac:dyDescent="0.25">
      <c r="Z78" s="5">
        <v>0.29411764705882354</v>
      </c>
      <c r="AA78" s="5">
        <v>0.6470588235294118</v>
      </c>
      <c r="AB78" s="5">
        <v>0</v>
      </c>
      <c r="AC78" s="5">
        <v>5.8823529411764705E-2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</row>
    <row r="79" spans="2:36" x14ac:dyDescent="0.25">
      <c r="Z79" s="5">
        <v>0.4</v>
      </c>
      <c r="AA79" s="5">
        <v>0.43333333333333335</v>
      </c>
      <c r="AB79" s="5">
        <v>0.1</v>
      </c>
      <c r="AC79" s="5">
        <v>6.6666666666666666E-2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</row>
  </sheetData>
  <mergeCells count="2">
    <mergeCell ref="B1:K1"/>
    <mergeCell ref="N1:W1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B1:AP79"/>
  <sheetViews>
    <sheetView showGridLines="0" workbookViewId="0">
      <selection activeCell="B2" sqref="B1:AP1048576"/>
    </sheetView>
  </sheetViews>
  <sheetFormatPr defaultRowHeight="15" x14ac:dyDescent="0.25"/>
  <cols>
    <col min="1" max="1" width="2.42578125" customWidth="1"/>
    <col min="2" max="36" width="4.28515625" style="5" customWidth="1"/>
    <col min="37" max="42" width="4.28515625" customWidth="1"/>
  </cols>
  <sheetData>
    <row r="1" spans="2:42" x14ac:dyDescent="0.25">
      <c r="B1" s="203" t="s">
        <v>59</v>
      </c>
      <c r="C1" s="203"/>
      <c r="D1" s="203"/>
      <c r="E1" s="203"/>
      <c r="F1" s="203"/>
      <c r="G1" s="203"/>
      <c r="H1" s="203"/>
      <c r="I1" s="203"/>
      <c r="J1" s="203"/>
      <c r="K1" s="203"/>
      <c r="N1" s="203" t="s">
        <v>60</v>
      </c>
      <c r="O1" s="203"/>
      <c r="P1" s="203"/>
      <c r="Q1" s="203"/>
      <c r="R1" s="203"/>
      <c r="S1" s="203"/>
      <c r="T1" s="203"/>
      <c r="U1" s="203"/>
      <c r="V1" s="203"/>
      <c r="W1" s="203"/>
    </row>
    <row r="2" spans="2:42" x14ac:dyDescent="0.25">
      <c r="B2" s="5" t="s">
        <v>0</v>
      </c>
      <c r="N2" s="5" t="s">
        <v>0</v>
      </c>
    </row>
    <row r="3" spans="2:42" x14ac:dyDescent="0.25">
      <c r="B3" s="5">
        <v>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N3" s="5">
        <v>0.75862068965517238</v>
      </c>
      <c r="O3" s="5">
        <v>0.20689655172413793</v>
      </c>
      <c r="P3" s="5">
        <v>3.4482758620689655E-2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Z3" s="5" t="s">
        <v>158</v>
      </c>
    </row>
    <row r="4" spans="2:42" x14ac:dyDescent="0.25">
      <c r="B4" s="5">
        <v>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N4" s="5">
        <v>1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Z4" s="5">
        <v>0.89655172413793105</v>
      </c>
      <c r="AA4" s="5">
        <v>6.8965517241379309E-2</v>
      </c>
      <c r="AB4" s="5">
        <v>3.4482758620689655E-2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L4" s="5"/>
      <c r="AM4" s="5" t="s">
        <v>164</v>
      </c>
      <c r="AN4" s="5" t="s">
        <v>165</v>
      </c>
      <c r="AO4" s="5" t="s">
        <v>166</v>
      </c>
      <c r="AP4" s="5" t="s">
        <v>167</v>
      </c>
    </row>
    <row r="5" spans="2:42" x14ac:dyDescent="0.25">
      <c r="B5" s="5">
        <v>0.75</v>
      </c>
      <c r="C5" s="5">
        <v>0.125</v>
      </c>
      <c r="D5" s="5">
        <v>0.125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N5" s="5">
        <v>0.625</v>
      </c>
      <c r="O5" s="5">
        <v>0.25</v>
      </c>
      <c r="P5" s="5">
        <v>0.125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Z5" s="5">
        <v>0</v>
      </c>
      <c r="AA5" s="5">
        <v>1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L5" s="5">
        <v>1</v>
      </c>
      <c r="AM5" s="5">
        <v>3.048780487804878E-2</v>
      </c>
      <c r="AN5" s="5">
        <v>6.4935064935064939E-3</v>
      </c>
      <c r="AO5" s="5">
        <v>5.9523809523809521E-3</v>
      </c>
      <c r="AP5" s="5">
        <v>6.41025641025641E-3</v>
      </c>
    </row>
    <row r="6" spans="2:42" x14ac:dyDescent="0.25">
      <c r="B6" s="5">
        <v>0.4</v>
      </c>
      <c r="C6" s="5">
        <v>0.33333333333333331</v>
      </c>
      <c r="D6" s="5">
        <v>0.2</v>
      </c>
      <c r="E6" s="5">
        <v>6.6666666666666666E-2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N6" s="5">
        <v>0.53333333333333333</v>
      </c>
      <c r="O6" s="5">
        <v>0.26666666666666666</v>
      </c>
      <c r="P6" s="5">
        <v>0.2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Z6" s="5">
        <v>0.875</v>
      </c>
      <c r="AA6" s="5">
        <v>0</v>
      </c>
      <c r="AB6" s="5">
        <v>0.125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L6" s="5">
        <v>2</v>
      </c>
      <c r="AM6" s="5">
        <v>0.43902439024390244</v>
      </c>
      <c r="AN6" s="5">
        <v>0.20779220779220781</v>
      </c>
      <c r="AO6" s="5">
        <v>0</v>
      </c>
      <c r="AP6" s="5">
        <v>0</v>
      </c>
    </row>
    <row r="7" spans="2:42" x14ac:dyDescent="0.25">
      <c r="B7" s="5">
        <v>0.3888888888888889</v>
      </c>
      <c r="C7" s="5">
        <v>0.44444444444444442</v>
      </c>
      <c r="D7" s="5">
        <v>0.16666666666666666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N7" s="5">
        <v>0.55555555555555558</v>
      </c>
      <c r="O7" s="5">
        <v>0.22222222222222221</v>
      </c>
      <c r="P7" s="5">
        <v>0.22222222222222221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Z7" s="5">
        <v>0.66666666666666663</v>
      </c>
      <c r="AA7" s="5">
        <v>0.2</v>
      </c>
      <c r="AB7" s="5">
        <v>0.13333333333333333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L7" s="5">
        <v>3</v>
      </c>
      <c r="AM7" s="5">
        <v>5.4878048780487805E-2</v>
      </c>
      <c r="AN7" s="5">
        <v>6.4935064935064929E-2</v>
      </c>
      <c r="AO7" s="5">
        <v>0.11904761904761904</v>
      </c>
      <c r="AP7" s="5">
        <v>7.6923076923076927E-2</v>
      </c>
    </row>
    <row r="8" spans="2:42" x14ac:dyDescent="0.25">
      <c r="B8" s="5">
        <v>0</v>
      </c>
      <c r="C8" s="5">
        <v>0.6</v>
      </c>
      <c r="D8" s="5">
        <v>0.4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N8" s="5">
        <v>0.6</v>
      </c>
      <c r="O8" s="5">
        <v>0.4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Z8" s="5">
        <v>0.83333333333333337</v>
      </c>
      <c r="AA8" s="5">
        <v>5.5555555555555552E-2</v>
      </c>
      <c r="AB8" s="5">
        <v>0.1111111111111111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L8" s="5">
        <v>4</v>
      </c>
      <c r="AM8" s="5">
        <v>0.29878048780487804</v>
      </c>
      <c r="AN8" s="5">
        <v>0.33766233766233766</v>
      </c>
      <c r="AO8" s="5">
        <v>0.36904761904761907</v>
      </c>
      <c r="AP8" s="5">
        <v>0.25</v>
      </c>
    </row>
    <row r="9" spans="2:42" x14ac:dyDescent="0.25"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s="5">
        <v>1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L9" s="5">
        <v>5</v>
      </c>
      <c r="AM9" s="5">
        <v>0.17682926829268292</v>
      </c>
      <c r="AN9" s="5">
        <v>0.38311688311688313</v>
      </c>
      <c r="AO9" s="5">
        <v>0.50595238095238093</v>
      </c>
      <c r="AP9" s="5">
        <v>0.66666666666666663</v>
      </c>
    </row>
    <row r="10" spans="2:42" x14ac:dyDescent="0.25"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</row>
    <row r="11" spans="2:42" x14ac:dyDescent="0.25">
      <c r="B11" s="5">
        <v>0</v>
      </c>
      <c r="C11" s="5">
        <v>1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N11" s="5">
        <v>1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</row>
    <row r="12" spans="2:42" x14ac:dyDescent="0.25"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 s="5">
        <v>1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</row>
    <row r="13" spans="2:42" x14ac:dyDescent="0.25">
      <c r="B13" s="5">
        <v>1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N13" s="5">
        <v>1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</row>
    <row r="14" spans="2:42" x14ac:dyDescent="0.25">
      <c r="Z14" s="5">
        <v>1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</row>
    <row r="15" spans="2:42" x14ac:dyDescent="0.25">
      <c r="B15" s="5" t="s">
        <v>1</v>
      </c>
      <c r="N15" s="5" t="s">
        <v>1</v>
      </c>
    </row>
    <row r="16" spans="2:42" x14ac:dyDescent="0.25"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 s="5" t="s">
        <v>159</v>
      </c>
    </row>
    <row r="17" spans="2:36" x14ac:dyDescent="0.25"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 s="5">
        <v>0.62068965517241381</v>
      </c>
      <c r="AA17" s="5">
        <v>0.27586206896551724</v>
      </c>
      <c r="AB17" s="5">
        <v>0.10344827586206896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</row>
    <row r="18" spans="2:36" x14ac:dyDescent="0.25"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 s="5">
        <v>0</v>
      </c>
      <c r="AA18" s="5">
        <v>0</v>
      </c>
      <c r="AB18" s="5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</row>
    <row r="19" spans="2:36" x14ac:dyDescent="0.25">
      <c r="B19" s="5">
        <v>0</v>
      </c>
      <c r="C19" s="5">
        <v>0</v>
      </c>
      <c r="D19" s="5">
        <v>0</v>
      </c>
      <c r="E19" s="5">
        <v>0</v>
      </c>
      <c r="F19" s="5">
        <v>1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N19" s="5">
        <v>0</v>
      </c>
      <c r="O19" s="5">
        <v>0</v>
      </c>
      <c r="P19" s="5">
        <v>1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 s="5">
        <v>0.5</v>
      </c>
      <c r="AA19" s="5">
        <v>0.375</v>
      </c>
      <c r="AB19" s="5">
        <v>0.125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</row>
    <row r="20" spans="2:36" x14ac:dyDescent="0.25">
      <c r="B20" s="5">
        <v>0</v>
      </c>
      <c r="C20" s="5">
        <v>0</v>
      </c>
      <c r="D20" s="5">
        <v>1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N20" s="5">
        <v>1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 s="5">
        <v>0.6</v>
      </c>
      <c r="AA20" s="5">
        <v>0.26666666666666666</v>
      </c>
      <c r="AB20" s="5">
        <v>0.13333333333333333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</row>
    <row r="21" spans="2:36" x14ac:dyDescent="0.25">
      <c r="B21" s="5">
        <v>0.66666666666666663</v>
      </c>
      <c r="C21" s="5">
        <v>0</v>
      </c>
      <c r="D21" s="5">
        <v>0.33333333333333331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N21" s="5">
        <v>0.66666666666666663</v>
      </c>
      <c r="O21" s="5">
        <v>0.33333333333333331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 s="5">
        <v>0.72222222222222221</v>
      </c>
      <c r="AA21" s="5">
        <v>0.27777777777777779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</row>
    <row r="22" spans="2:36" x14ac:dyDescent="0.25">
      <c r="B22" s="5">
        <v>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N22" s="5">
        <v>0</v>
      </c>
      <c r="O22" s="5">
        <v>1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 s="5">
        <v>0.8</v>
      </c>
      <c r="AA22" s="5">
        <v>0.2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</row>
    <row r="23" spans="2:36" x14ac:dyDescent="0.25">
      <c r="B23" s="5">
        <v>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N23" s="5">
        <v>0.66666666666666663</v>
      </c>
      <c r="O23" s="5">
        <v>0.33333333333333331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</row>
    <row r="24" spans="2:36" x14ac:dyDescent="0.25">
      <c r="B24" s="5">
        <v>0.29411764705882354</v>
      </c>
      <c r="C24" s="5">
        <v>0.41176470588235292</v>
      </c>
      <c r="D24" s="5">
        <v>0.23529411764705882</v>
      </c>
      <c r="E24" s="5">
        <v>5.8823529411764705E-2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N24" s="5">
        <v>0.52941176470588236</v>
      </c>
      <c r="O24" s="5">
        <v>0.23529411764705882</v>
      </c>
      <c r="P24" s="5">
        <v>0.11764705882352941</v>
      </c>
      <c r="Q24" s="5">
        <v>0.11764705882352941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</row>
    <row r="25" spans="2:36" x14ac:dyDescent="0.25">
      <c r="B25" s="5">
        <v>0.29411764705882354</v>
      </c>
      <c r="C25" s="5">
        <v>0.17647058823529413</v>
      </c>
      <c r="D25" s="5">
        <v>0.35294117647058826</v>
      </c>
      <c r="E25" s="5">
        <v>0.17647058823529413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N25" s="5">
        <v>0.29411764705882354</v>
      </c>
      <c r="O25" s="5">
        <v>0.58823529411764708</v>
      </c>
      <c r="P25" s="5">
        <v>5.8823529411764705E-2</v>
      </c>
      <c r="Q25" s="5">
        <v>5.8823529411764705E-2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 s="5">
        <v>1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</row>
    <row r="26" spans="2:36" x14ac:dyDescent="0.25">
      <c r="B26" s="5">
        <v>0.43333333333333335</v>
      </c>
      <c r="C26" s="5">
        <v>0.23333333333333334</v>
      </c>
      <c r="D26" s="5">
        <v>0.13333333333333333</v>
      </c>
      <c r="E26" s="5">
        <v>0.13333333333333333</v>
      </c>
      <c r="F26" s="5">
        <v>6.6666666666666666E-2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N26" s="5">
        <v>0.46666666666666667</v>
      </c>
      <c r="O26" s="5">
        <v>0.3</v>
      </c>
      <c r="P26" s="5">
        <v>0.13333333333333333</v>
      </c>
      <c r="Q26" s="5">
        <v>0</v>
      </c>
      <c r="R26" s="5">
        <v>3.3333333333333333E-2</v>
      </c>
      <c r="S26" s="5">
        <v>3.3333333333333333E-2</v>
      </c>
      <c r="T26" s="5">
        <v>3.3333333333333333E-2</v>
      </c>
      <c r="U26" s="5">
        <v>0</v>
      </c>
      <c r="V26" s="5">
        <v>0</v>
      </c>
      <c r="W26" s="5">
        <v>0</v>
      </c>
      <c r="X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</row>
    <row r="27" spans="2:36" x14ac:dyDescent="0.25">
      <c r="Z27" s="5">
        <v>1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</row>
    <row r="28" spans="2:36" x14ac:dyDescent="0.25">
      <c r="B28" s="5" t="s">
        <v>3</v>
      </c>
      <c r="N28" s="5" t="s">
        <v>3</v>
      </c>
    </row>
    <row r="29" spans="2:36" x14ac:dyDescent="0.25">
      <c r="B29" s="5">
        <v>7.1428571428571425E-2</v>
      </c>
      <c r="C29" s="5">
        <v>0.7142857142857143</v>
      </c>
      <c r="D29" s="5">
        <v>0.21428571428571427</v>
      </c>
      <c r="E29" s="5">
        <v>0</v>
      </c>
      <c r="N29" s="5">
        <v>0</v>
      </c>
      <c r="O29" s="5">
        <v>0.42857142857142855</v>
      </c>
      <c r="P29" s="5">
        <v>0.42857142857142855</v>
      </c>
      <c r="Q29" s="5">
        <v>0.14285714285714285</v>
      </c>
      <c r="Z29" s="5" t="s">
        <v>160</v>
      </c>
    </row>
    <row r="30" spans="2:36" x14ac:dyDescent="0.25">
      <c r="B30" s="5">
        <v>0</v>
      </c>
      <c r="C30" s="5">
        <v>0.54347826086956519</v>
      </c>
      <c r="D30" s="5">
        <v>0.39130434782608697</v>
      </c>
      <c r="E30" s="5">
        <v>6.5217391304347824E-2</v>
      </c>
      <c r="N30" s="5">
        <v>0</v>
      </c>
      <c r="O30" s="5">
        <v>0.28260869565217389</v>
      </c>
      <c r="P30" s="5">
        <v>0.2608695652173913</v>
      </c>
      <c r="Q30" s="5">
        <v>0.45652173913043476</v>
      </c>
      <c r="Z30" s="5">
        <v>0.44827586206896552</v>
      </c>
      <c r="AA30" s="5">
        <v>0.31034482758620691</v>
      </c>
      <c r="AB30" s="5">
        <v>0.2413793103448276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</row>
    <row r="31" spans="2:36" x14ac:dyDescent="0.25">
      <c r="B31" s="5">
        <v>0</v>
      </c>
      <c r="C31" s="5">
        <v>0.27777777777777779</v>
      </c>
      <c r="D31" s="5">
        <v>0.61111111111111116</v>
      </c>
      <c r="E31" s="5">
        <v>0.1111111111111111</v>
      </c>
      <c r="N31" s="5">
        <v>0</v>
      </c>
      <c r="O31" s="5">
        <v>0.22222222222222221</v>
      </c>
      <c r="P31" s="5">
        <v>0.3888888888888889</v>
      </c>
      <c r="Q31" s="5">
        <v>0.3888888888888889</v>
      </c>
      <c r="Z31" s="5">
        <v>0</v>
      </c>
      <c r="AA31" s="5">
        <v>1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</row>
    <row r="32" spans="2:36" x14ac:dyDescent="0.25">
      <c r="B32" s="5">
        <v>0</v>
      </c>
      <c r="C32" s="5">
        <v>0</v>
      </c>
      <c r="D32" s="5">
        <v>0</v>
      </c>
      <c r="E32" s="5">
        <v>0</v>
      </c>
      <c r="N32" s="5">
        <v>0</v>
      </c>
      <c r="O32" s="5">
        <v>0</v>
      </c>
      <c r="P32" s="5">
        <v>0</v>
      </c>
      <c r="Q32" s="5">
        <v>0</v>
      </c>
      <c r="Z32" s="5">
        <v>0.25</v>
      </c>
      <c r="AA32" s="5">
        <v>0.625</v>
      </c>
      <c r="AB32" s="5">
        <v>0.125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</row>
    <row r="33" spans="2:36" x14ac:dyDescent="0.25">
      <c r="Z33" s="5">
        <v>0.4</v>
      </c>
      <c r="AA33" s="5">
        <v>0.33333333333333331</v>
      </c>
      <c r="AB33" s="5">
        <v>0.13333333333333333</v>
      </c>
      <c r="AC33" s="5">
        <v>0.13333333333333333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</row>
    <row r="34" spans="2:36" x14ac:dyDescent="0.25">
      <c r="B34" s="5" t="s">
        <v>4</v>
      </c>
      <c r="N34" s="5" t="s">
        <v>4</v>
      </c>
      <c r="Z34" s="5">
        <v>0.44444444444444442</v>
      </c>
      <c r="AA34" s="5">
        <v>0.3888888888888889</v>
      </c>
      <c r="AB34" s="5">
        <v>0.1111111111111111</v>
      </c>
      <c r="AC34" s="5">
        <v>5.5555555555555552E-2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</row>
    <row r="35" spans="2:36" x14ac:dyDescent="0.25">
      <c r="B35" s="5">
        <v>0.1111111111111111</v>
      </c>
      <c r="C35" s="5">
        <v>0.22222222222222221</v>
      </c>
      <c r="D35" s="5">
        <v>0.66666666666666663</v>
      </c>
      <c r="E35" s="5">
        <v>0</v>
      </c>
      <c r="N35" s="5">
        <v>0</v>
      </c>
      <c r="O35" s="5">
        <v>0.22222222222222221</v>
      </c>
      <c r="P35" s="5">
        <v>0.55555555555555558</v>
      </c>
      <c r="Q35" s="5">
        <v>0.22222222222222221</v>
      </c>
      <c r="Z35" s="5">
        <v>0.8</v>
      </c>
      <c r="AA35" s="5">
        <v>0.2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</row>
    <row r="36" spans="2:36" x14ac:dyDescent="0.25">
      <c r="B36" s="5">
        <v>0</v>
      </c>
      <c r="C36" s="5">
        <v>0.56756756756756754</v>
      </c>
      <c r="D36" s="5">
        <v>0.3783783783783784</v>
      </c>
      <c r="E36" s="5">
        <v>5.4054054054054057E-2</v>
      </c>
      <c r="N36" s="5">
        <v>0</v>
      </c>
      <c r="O36" s="5">
        <v>0.27027027027027029</v>
      </c>
      <c r="P36" s="5">
        <v>0.24324324324324326</v>
      </c>
      <c r="Q36" s="5">
        <v>0.48648648648648651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</row>
    <row r="37" spans="2:36" x14ac:dyDescent="0.25">
      <c r="B37" s="5">
        <v>0</v>
      </c>
      <c r="C37" s="5">
        <v>0.23076923076923078</v>
      </c>
      <c r="D37" s="5">
        <v>0.57692307692307687</v>
      </c>
      <c r="E37" s="5">
        <v>0.19230769230769232</v>
      </c>
      <c r="N37" s="5">
        <v>0</v>
      </c>
      <c r="O37" s="5">
        <v>0.34615384615384615</v>
      </c>
      <c r="P37" s="5">
        <v>0.23076923076923078</v>
      </c>
      <c r="Q37" s="5">
        <v>0.42307692307692307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</row>
    <row r="38" spans="2:36" x14ac:dyDescent="0.25">
      <c r="B38" s="5">
        <v>0</v>
      </c>
      <c r="C38" s="5">
        <v>0</v>
      </c>
      <c r="D38" s="5">
        <v>0.66666666666666663</v>
      </c>
      <c r="E38" s="5">
        <v>0.33333333333333331</v>
      </c>
      <c r="N38" s="5">
        <v>0</v>
      </c>
      <c r="O38" s="5">
        <v>0.16666666666666666</v>
      </c>
      <c r="P38" s="5">
        <v>0.33333333333333331</v>
      </c>
      <c r="Q38" s="5">
        <v>0.5</v>
      </c>
      <c r="Z38" s="5">
        <v>1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</row>
    <row r="39" spans="2:36" x14ac:dyDescent="0.25"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</row>
    <row r="40" spans="2:36" x14ac:dyDescent="0.25">
      <c r="B40" s="5" t="s">
        <v>5</v>
      </c>
      <c r="N40" s="5" t="s">
        <v>5</v>
      </c>
      <c r="Z40" s="5">
        <v>1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</row>
    <row r="41" spans="2:36" x14ac:dyDescent="0.25">
      <c r="B41" s="5">
        <v>0.20833333333333334</v>
      </c>
      <c r="C41" s="5">
        <v>0.58333333333333337</v>
      </c>
      <c r="D41" s="5">
        <v>0.16666666666666666</v>
      </c>
      <c r="E41" s="5">
        <v>4.1666666666666664E-2</v>
      </c>
      <c r="N41" s="5">
        <v>0.125</v>
      </c>
      <c r="O41" s="5">
        <v>0.16666666666666666</v>
      </c>
      <c r="P41" s="5">
        <v>0.33333333333333331</v>
      </c>
      <c r="Q41" s="5">
        <v>0.375</v>
      </c>
    </row>
    <row r="42" spans="2:36" x14ac:dyDescent="0.25">
      <c r="B42" s="5">
        <v>4.1666666666666664E-2</v>
      </c>
      <c r="C42" s="5">
        <v>0.5625</v>
      </c>
      <c r="D42" s="5">
        <v>0.33333333333333331</v>
      </c>
      <c r="E42" s="5">
        <v>6.25E-2</v>
      </c>
      <c r="N42" s="5">
        <v>4.1666666666666664E-2</v>
      </c>
      <c r="O42" s="5">
        <v>0.125</v>
      </c>
      <c r="P42" s="5">
        <v>0.35416666666666669</v>
      </c>
      <c r="Q42" s="5">
        <v>0.47916666666666669</v>
      </c>
      <c r="Z42" s="5" t="s">
        <v>161</v>
      </c>
    </row>
    <row r="43" spans="2:36" x14ac:dyDescent="0.25">
      <c r="B43" s="5">
        <v>0</v>
      </c>
      <c r="C43" s="5">
        <v>0.2</v>
      </c>
      <c r="D43" s="5">
        <v>0.6</v>
      </c>
      <c r="E43" s="5">
        <v>0.2</v>
      </c>
      <c r="N43" s="5">
        <v>0</v>
      </c>
      <c r="O43" s="5">
        <v>0</v>
      </c>
      <c r="P43" s="5">
        <v>0.6</v>
      </c>
      <c r="Q43" s="5">
        <v>0.4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</row>
    <row r="44" spans="2:36" x14ac:dyDescent="0.25">
      <c r="B44" s="5">
        <v>0</v>
      </c>
      <c r="C44" s="5">
        <v>0</v>
      </c>
      <c r="D44" s="5">
        <v>0</v>
      </c>
      <c r="E44" s="5">
        <v>1</v>
      </c>
      <c r="N44" s="5">
        <v>0</v>
      </c>
      <c r="O44" s="5">
        <v>0</v>
      </c>
      <c r="P44" s="5">
        <v>1</v>
      </c>
      <c r="Q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</row>
    <row r="45" spans="2:36" x14ac:dyDescent="0.25"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</row>
    <row r="46" spans="2:36" x14ac:dyDescent="0.25">
      <c r="B46" s="5" t="s">
        <v>6</v>
      </c>
      <c r="N46" s="5" t="s">
        <v>6</v>
      </c>
      <c r="Z46" s="5">
        <v>0</v>
      </c>
      <c r="AA46" s="5">
        <v>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</row>
    <row r="47" spans="2:36" x14ac:dyDescent="0.25">
      <c r="B47" s="5">
        <v>1</v>
      </c>
      <c r="C47" s="5">
        <v>0</v>
      </c>
      <c r="D47" s="5">
        <v>0</v>
      </c>
      <c r="E47" s="5">
        <v>0</v>
      </c>
      <c r="F47" s="5">
        <v>0</v>
      </c>
      <c r="N47" s="5">
        <v>1</v>
      </c>
      <c r="O47" s="5">
        <v>0</v>
      </c>
      <c r="P47" s="5">
        <v>0</v>
      </c>
      <c r="Q47" s="5">
        <v>0</v>
      </c>
      <c r="R47" s="5">
        <v>0</v>
      </c>
      <c r="Z47" s="5">
        <v>1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</row>
    <row r="48" spans="2:36" x14ac:dyDescent="0.25">
      <c r="B48" s="5">
        <v>0.19047619047619047</v>
      </c>
      <c r="C48" s="5">
        <v>0.52380952380952384</v>
      </c>
      <c r="D48" s="5">
        <v>0.2857142857142857</v>
      </c>
      <c r="E48" s="5">
        <v>0</v>
      </c>
      <c r="F48" s="5">
        <v>0</v>
      </c>
      <c r="N48" s="5">
        <v>4.7619047619047616E-2</v>
      </c>
      <c r="O48" s="5">
        <v>0.5714285714285714</v>
      </c>
      <c r="P48" s="5">
        <v>0.38095238095238093</v>
      </c>
      <c r="Q48" s="5">
        <v>0</v>
      </c>
      <c r="R48" s="5">
        <v>0</v>
      </c>
      <c r="Z48" s="5">
        <v>0.66666666666666663</v>
      </c>
      <c r="AA48" s="5">
        <v>0.33333333333333331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</row>
    <row r="49" spans="2:36" x14ac:dyDescent="0.25">
      <c r="B49" s="5">
        <v>8.8235294117647065E-2</v>
      </c>
      <c r="C49" s="5">
        <v>0.67647058823529416</v>
      </c>
      <c r="D49" s="5">
        <v>0.20588235294117646</v>
      </c>
      <c r="E49" s="5">
        <v>0</v>
      </c>
      <c r="F49" s="5">
        <v>2.9411764705882353E-2</v>
      </c>
      <c r="N49" s="5">
        <v>0.17647058823529413</v>
      </c>
      <c r="O49" s="5">
        <v>0.61764705882352944</v>
      </c>
      <c r="P49" s="5">
        <v>0.20588235294117646</v>
      </c>
      <c r="Q49" s="5">
        <v>0</v>
      </c>
      <c r="R49" s="5">
        <v>0</v>
      </c>
      <c r="Z49" s="5">
        <v>0</v>
      </c>
      <c r="AA49" s="5">
        <v>1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</row>
    <row r="50" spans="2:36" x14ac:dyDescent="0.25">
      <c r="B50" s="5">
        <v>0.125</v>
      </c>
      <c r="C50" s="5">
        <v>0.75</v>
      </c>
      <c r="D50" s="5">
        <v>6.25E-2</v>
      </c>
      <c r="E50" s="5">
        <v>0</v>
      </c>
      <c r="F50" s="5">
        <v>6.25E-2</v>
      </c>
      <c r="N50" s="5">
        <v>0</v>
      </c>
      <c r="O50" s="5">
        <v>0.6875</v>
      </c>
      <c r="P50" s="5">
        <v>0.3125</v>
      </c>
      <c r="Q50" s="5">
        <v>0</v>
      </c>
      <c r="R50" s="5">
        <v>0</v>
      </c>
      <c r="Z50" s="5">
        <v>0.33333333333333331</v>
      </c>
      <c r="AA50" s="5">
        <v>0.33333333333333331</v>
      </c>
      <c r="AB50" s="5">
        <v>0.33333333333333331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</row>
    <row r="51" spans="2:36" x14ac:dyDescent="0.25">
      <c r="B51" s="5">
        <v>0</v>
      </c>
      <c r="C51" s="5">
        <v>0.66666666666666663</v>
      </c>
      <c r="D51" s="5">
        <v>0.16666666666666666</v>
      </c>
      <c r="E51" s="5">
        <v>0</v>
      </c>
      <c r="F51" s="5">
        <v>0.16666666666666666</v>
      </c>
      <c r="N51" s="5">
        <v>0.33333333333333331</v>
      </c>
      <c r="O51" s="5">
        <v>0.16666666666666666</v>
      </c>
      <c r="P51" s="5">
        <v>0.5</v>
      </c>
      <c r="Q51" s="5">
        <v>0</v>
      </c>
      <c r="R51" s="5">
        <v>0</v>
      </c>
      <c r="Z51" s="5">
        <v>0.41176470588235292</v>
      </c>
      <c r="AA51" s="5">
        <v>0.41176470588235292</v>
      </c>
      <c r="AB51" s="5">
        <v>0.17647058823529413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</row>
    <row r="52" spans="2:36" x14ac:dyDescent="0.25">
      <c r="Z52" s="5">
        <v>0.35294117647058826</v>
      </c>
      <c r="AA52" s="5">
        <v>0.47058823529411764</v>
      </c>
      <c r="AB52" s="5">
        <v>0.11764705882352941</v>
      </c>
      <c r="AC52" s="5">
        <v>5.8823529411764705E-2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</row>
    <row r="53" spans="2:36" x14ac:dyDescent="0.25">
      <c r="B53" s="5" t="s">
        <v>16</v>
      </c>
      <c r="N53" s="5" t="s">
        <v>16</v>
      </c>
      <c r="Z53" s="5">
        <v>0.4</v>
      </c>
      <c r="AA53" s="5">
        <v>0.46666666666666667</v>
      </c>
      <c r="AB53" s="5">
        <v>0</v>
      </c>
      <c r="AC53" s="5">
        <v>3.3333333333333333E-2</v>
      </c>
      <c r="AD53" s="5">
        <v>3.3333333333333333E-2</v>
      </c>
      <c r="AE53" s="5">
        <v>3.3333333333333333E-2</v>
      </c>
      <c r="AF53" s="5">
        <v>0</v>
      </c>
      <c r="AG53" s="5">
        <v>0</v>
      </c>
      <c r="AH53" s="5">
        <v>3.3333333333333333E-2</v>
      </c>
      <c r="AI53" s="5">
        <v>0</v>
      </c>
      <c r="AJ53" s="5">
        <v>0</v>
      </c>
    </row>
    <row r="54" spans="2:36" x14ac:dyDescent="0.25">
      <c r="B54" s="5">
        <v>0.81132075471698117</v>
      </c>
      <c r="C54" s="5">
        <v>1.8867924528301886E-2</v>
      </c>
      <c r="D54" s="5">
        <v>0.16981132075471697</v>
      </c>
      <c r="N54" s="5">
        <v>0.84905660377358494</v>
      </c>
      <c r="O54" s="5">
        <v>0.11320754716981132</v>
      </c>
      <c r="P54" s="5">
        <v>3.7735849056603772E-2</v>
      </c>
    </row>
    <row r="55" spans="2:36" x14ac:dyDescent="0.25">
      <c r="B55" s="5">
        <v>0.625</v>
      </c>
      <c r="C55" s="5">
        <v>6.25E-2</v>
      </c>
      <c r="D55" s="5">
        <v>0.3125</v>
      </c>
      <c r="N55" s="5">
        <v>0.75</v>
      </c>
      <c r="O55" s="5">
        <v>0.1875</v>
      </c>
      <c r="P55" s="5">
        <v>6.25E-2</v>
      </c>
      <c r="Z55" s="5" t="s">
        <v>163</v>
      </c>
    </row>
    <row r="56" spans="2:36" x14ac:dyDescent="0.25">
      <c r="B56" s="5">
        <v>0.33333333333333331</v>
      </c>
      <c r="C56" s="5">
        <v>0.33333333333333331</v>
      </c>
      <c r="D56" s="5">
        <v>0.33333333333333331</v>
      </c>
      <c r="N56" s="5">
        <v>0.55555555555555558</v>
      </c>
      <c r="O56" s="5">
        <v>0.33333333333333331</v>
      </c>
      <c r="P56" s="5">
        <v>0.1111111111111111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</row>
    <row r="57" spans="2:36" x14ac:dyDescent="0.25"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</row>
    <row r="58" spans="2:36" x14ac:dyDescent="0.25">
      <c r="B58" s="5" t="s">
        <v>17</v>
      </c>
      <c r="N58" s="5" t="s">
        <v>17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</row>
    <row r="59" spans="2:36" x14ac:dyDescent="0.25">
      <c r="B59" s="5">
        <v>0.67441860465116277</v>
      </c>
      <c r="C59" s="5">
        <v>0.23255813953488372</v>
      </c>
      <c r="D59" s="5">
        <v>9.3023255813953487E-2</v>
      </c>
      <c r="N59" s="5">
        <v>0.81395348837209303</v>
      </c>
      <c r="O59" s="5">
        <v>0.16279069767441862</v>
      </c>
      <c r="P59" s="5">
        <v>2.3255813953488372E-2</v>
      </c>
      <c r="Z59" s="5">
        <v>1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</row>
    <row r="60" spans="2:36" x14ac:dyDescent="0.25">
      <c r="B60" s="5">
        <v>0.56521739130434778</v>
      </c>
      <c r="C60" s="5">
        <v>0.13043478260869565</v>
      </c>
      <c r="D60" s="5">
        <v>0.30434782608695654</v>
      </c>
      <c r="N60" s="5">
        <v>0.69565217391304346</v>
      </c>
      <c r="O60" s="5">
        <v>0.17391304347826086</v>
      </c>
      <c r="P60" s="5">
        <v>0.13043478260869565</v>
      </c>
      <c r="Z60" s="5">
        <v>1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</row>
    <row r="61" spans="2:36" x14ac:dyDescent="0.25">
      <c r="B61" s="5">
        <v>0.33333333333333331</v>
      </c>
      <c r="C61" s="5">
        <v>0.33333333333333331</v>
      </c>
      <c r="D61" s="5">
        <v>0.33333333333333331</v>
      </c>
      <c r="N61" s="5">
        <v>0.58333333333333337</v>
      </c>
      <c r="O61" s="5">
        <v>0.41666666666666669</v>
      </c>
      <c r="P61" s="5">
        <v>0</v>
      </c>
      <c r="Z61" s="5">
        <v>0.66666666666666663</v>
      </c>
      <c r="AA61" s="5">
        <v>0.33333333333333331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</row>
    <row r="62" spans="2:36" x14ac:dyDescent="0.25">
      <c r="Z62" s="5">
        <v>0</v>
      </c>
      <c r="AA62" s="5">
        <v>1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</row>
    <row r="63" spans="2:36" x14ac:dyDescent="0.25">
      <c r="B63" s="5" t="s">
        <v>7</v>
      </c>
      <c r="N63" s="5" t="s">
        <v>7</v>
      </c>
      <c r="Z63" s="5">
        <v>0.33333333333333331</v>
      </c>
      <c r="AA63" s="5">
        <v>0.33333333333333331</v>
      </c>
      <c r="AB63" s="5">
        <v>0.33333333333333331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</row>
    <row r="64" spans="2:36" x14ac:dyDescent="0.25">
      <c r="B64" s="5">
        <v>0.36842105263157893</v>
      </c>
      <c r="C64" s="5">
        <v>0.42105263157894735</v>
      </c>
      <c r="D64" s="5">
        <v>0.21052631578947367</v>
      </c>
      <c r="N64" s="5">
        <v>0.42105263157894735</v>
      </c>
      <c r="O64" s="5">
        <v>0.47368421052631576</v>
      </c>
      <c r="P64" s="5">
        <v>0.10526315789473684</v>
      </c>
      <c r="Z64" s="5">
        <v>0.47058823529411764</v>
      </c>
      <c r="AA64" s="5">
        <v>0.41176470588235292</v>
      </c>
      <c r="AB64" s="5">
        <v>0.11764705882352941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</row>
    <row r="65" spans="2:36" x14ac:dyDescent="0.25">
      <c r="B65" s="5">
        <v>0.32</v>
      </c>
      <c r="C65" s="5">
        <v>0.4</v>
      </c>
      <c r="D65" s="5">
        <v>0.28000000000000003</v>
      </c>
      <c r="N65" s="5">
        <v>0.36</v>
      </c>
      <c r="O65" s="5">
        <v>0.52</v>
      </c>
      <c r="P65" s="5">
        <v>0.12</v>
      </c>
      <c r="Z65" s="5">
        <v>0.35294117647058826</v>
      </c>
      <c r="AA65" s="5">
        <v>0.52941176470588236</v>
      </c>
      <c r="AB65" s="5">
        <v>5.8823529411764705E-2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5.8823529411764705E-2</v>
      </c>
      <c r="AI65" s="5">
        <v>0</v>
      </c>
      <c r="AJ65" s="5">
        <v>0</v>
      </c>
    </row>
    <row r="66" spans="2:36" x14ac:dyDescent="0.25">
      <c r="B66" s="5">
        <v>0.38235294117647056</v>
      </c>
      <c r="C66" s="5">
        <v>0.23529411764705882</v>
      </c>
      <c r="D66" s="5">
        <v>0.38235294117647056</v>
      </c>
      <c r="N66" s="5">
        <v>0.3235294117647059</v>
      </c>
      <c r="O66" s="5">
        <v>0.58823529411764708</v>
      </c>
      <c r="P66" s="5">
        <v>8.8235294117647065E-2</v>
      </c>
      <c r="Z66" s="5">
        <v>0.4</v>
      </c>
      <c r="AA66" s="5">
        <v>0.36666666666666664</v>
      </c>
      <c r="AB66" s="5">
        <v>0.13333333333333333</v>
      </c>
      <c r="AC66" s="5">
        <v>3.3333333333333333E-2</v>
      </c>
      <c r="AD66" s="5">
        <v>0</v>
      </c>
      <c r="AE66" s="5">
        <v>0</v>
      </c>
      <c r="AF66" s="5">
        <v>3.3333333333333333E-2</v>
      </c>
      <c r="AG66" s="5">
        <v>0</v>
      </c>
      <c r="AH66" s="5">
        <v>3.3333333333333333E-2</v>
      </c>
      <c r="AI66" s="5">
        <v>0</v>
      </c>
      <c r="AJ66" s="5">
        <v>0</v>
      </c>
    </row>
    <row r="68" spans="2:36" x14ac:dyDescent="0.25">
      <c r="B68" s="5" t="s">
        <v>8</v>
      </c>
      <c r="N68" s="5" t="s">
        <v>8</v>
      </c>
      <c r="Z68" s="5" t="s">
        <v>162</v>
      </c>
    </row>
    <row r="69" spans="2:36" x14ac:dyDescent="0.25">
      <c r="B69" s="5">
        <v>0.16666666666666666</v>
      </c>
      <c r="C69" s="5">
        <v>0.33333333333333331</v>
      </c>
      <c r="D69" s="5">
        <v>0.5</v>
      </c>
      <c r="N69" s="5">
        <v>0.16666666666666666</v>
      </c>
      <c r="O69" s="5">
        <v>0.66666666666666663</v>
      </c>
      <c r="P69" s="5">
        <v>0.16666666666666666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</row>
    <row r="70" spans="2:36" x14ac:dyDescent="0.25">
      <c r="B70" s="5">
        <v>0</v>
      </c>
      <c r="C70" s="5">
        <v>0.33333333333333331</v>
      </c>
      <c r="D70" s="5">
        <v>0.66666666666666663</v>
      </c>
      <c r="N70" s="5">
        <v>0.33333333333333331</v>
      </c>
      <c r="O70" s="5">
        <v>0.44444444444444442</v>
      </c>
      <c r="P70" s="5">
        <v>0.22222222222222221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</row>
    <row r="71" spans="2:36" x14ac:dyDescent="0.25">
      <c r="B71" s="5">
        <v>9.5238095238095233E-2</v>
      </c>
      <c r="C71" s="5">
        <v>0.23809523809523808</v>
      </c>
      <c r="D71" s="5">
        <v>0.66666666666666663</v>
      </c>
      <c r="N71" s="5">
        <v>0.2857142857142857</v>
      </c>
      <c r="O71" s="5">
        <v>0.47619047619047616</v>
      </c>
      <c r="P71" s="5">
        <v>0.23809523809523808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</row>
    <row r="72" spans="2:36" x14ac:dyDescent="0.25">
      <c r="Z72" s="5">
        <v>1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</row>
    <row r="73" spans="2:36" x14ac:dyDescent="0.25">
      <c r="B73" s="5" t="s">
        <v>10</v>
      </c>
      <c r="N73" s="5" t="s">
        <v>10</v>
      </c>
      <c r="Z73" s="5">
        <v>1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</row>
    <row r="74" spans="2:36" x14ac:dyDescent="0.25">
      <c r="B74" s="5">
        <v>0.8392857142857143</v>
      </c>
      <c r="C74" s="5">
        <v>0</v>
      </c>
      <c r="D74" s="5">
        <v>0.10714285714285714</v>
      </c>
      <c r="E74" s="5">
        <v>5.3571428571428568E-2</v>
      </c>
      <c r="N74" s="5">
        <v>0.8392857142857143</v>
      </c>
      <c r="O74" s="5">
        <v>0.125</v>
      </c>
      <c r="P74" s="5">
        <v>3.5714285714285712E-2</v>
      </c>
      <c r="Q74" s="5">
        <v>0</v>
      </c>
      <c r="Z74" s="5">
        <v>0</v>
      </c>
      <c r="AA74" s="5">
        <v>0.66666666666666663</v>
      </c>
      <c r="AB74" s="5">
        <v>0.33333333333333331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</row>
    <row r="75" spans="2:36" x14ac:dyDescent="0.25">
      <c r="B75" s="5">
        <v>0.63636363636363635</v>
      </c>
      <c r="C75" s="5">
        <v>9.0909090909090912E-2</v>
      </c>
      <c r="D75" s="5">
        <v>0.18181818181818182</v>
      </c>
      <c r="E75" s="5">
        <v>9.0909090909090912E-2</v>
      </c>
      <c r="N75" s="5">
        <v>0.54545454545454541</v>
      </c>
      <c r="O75" s="5">
        <v>0.18181818181818182</v>
      </c>
      <c r="P75" s="5">
        <v>0.27272727272727271</v>
      </c>
      <c r="Q75" s="5">
        <v>0</v>
      </c>
      <c r="Z75" s="5">
        <v>0</v>
      </c>
      <c r="AA75" s="5">
        <v>1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</row>
    <row r="76" spans="2:36" x14ac:dyDescent="0.25">
      <c r="B76" s="5">
        <v>0.44444444444444442</v>
      </c>
      <c r="C76" s="5">
        <v>0.22222222222222221</v>
      </c>
      <c r="D76" s="5">
        <v>0.1111111111111111</v>
      </c>
      <c r="E76" s="5">
        <v>0.22222222222222221</v>
      </c>
      <c r="N76" s="5">
        <v>0.55555555555555558</v>
      </c>
      <c r="O76" s="5">
        <v>0.33333333333333331</v>
      </c>
      <c r="P76" s="5">
        <v>0</v>
      </c>
      <c r="Q76" s="5">
        <v>0.1111111111111111</v>
      </c>
      <c r="Z76" s="5">
        <v>0.33333333333333331</v>
      </c>
      <c r="AA76" s="5">
        <v>0.66666666666666663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</row>
    <row r="77" spans="2:36" x14ac:dyDescent="0.25">
      <c r="B77" s="5">
        <v>0.5</v>
      </c>
      <c r="C77" s="5">
        <v>0</v>
      </c>
      <c r="D77" s="5">
        <v>0.5</v>
      </c>
      <c r="E77" s="5">
        <v>0</v>
      </c>
      <c r="N77" s="5">
        <v>1</v>
      </c>
      <c r="O77" s="5">
        <v>0</v>
      </c>
      <c r="P77" s="5">
        <v>0</v>
      </c>
      <c r="Q77" s="5">
        <v>0</v>
      </c>
      <c r="Z77" s="5">
        <v>0.47058823529411764</v>
      </c>
      <c r="AA77" s="5">
        <v>0.29411764705882354</v>
      </c>
      <c r="AB77" s="5">
        <v>0.23529411764705882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</row>
    <row r="78" spans="2:36" x14ac:dyDescent="0.25">
      <c r="Z78" s="5">
        <v>0.29411764705882354</v>
      </c>
      <c r="AA78" s="5">
        <v>0.6470588235294118</v>
      </c>
      <c r="AB78" s="5">
        <v>0</v>
      </c>
      <c r="AC78" s="5">
        <v>5.8823529411764705E-2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</row>
    <row r="79" spans="2:36" x14ac:dyDescent="0.25">
      <c r="Z79" s="5">
        <v>0.4</v>
      </c>
      <c r="AA79" s="5">
        <v>0.43333333333333335</v>
      </c>
      <c r="AB79" s="5">
        <v>0.1</v>
      </c>
      <c r="AC79" s="5">
        <v>6.6666666666666666E-2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</row>
  </sheetData>
  <mergeCells count="2">
    <mergeCell ref="B1:K1"/>
    <mergeCell ref="N1:W1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B1:AP79"/>
  <sheetViews>
    <sheetView showGridLines="0" workbookViewId="0">
      <selection activeCell="B2" sqref="B1:AP1048576"/>
    </sheetView>
  </sheetViews>
  <sheetFormatPr defaultRowHeight="15" x14ac:dyDescent="0.25"/>
  <cols>
    <col min="1" max="1" width="2.42578125" customWidth="1"/>
    <col min="2" max="36" width="4.28515625" style="5" customWidth="1"/>
    <col min="37" max="42" width="4.28515625" customWidth="1"/>
  </cols>
  <sheetData>
    <row r="1" spans="2:42" x14ac:dyDescent="0.25">
      <c r="B1" s="203" t="s">
        <v>59</v>
      </c>
      <c r="C1" s="203"/>
      <c r="D1" s="203"/>
      <c r="E1" s="203"/>
      <c r="F1" s="203"/>
      <c r="G1" s="203"/>
      <c r="H1" s="203"/>
      <c r="I1" s="203"/>
      <c r="J1" s="203"/>
      <c r="K1" s="203"/>
      <c r="N1" s="203" t="s">
        <v>60</v>
      </c>
      <c r="O1" s="203"/>
      <c r="P1" s="203"/>
      <c r="Q1" s="203"/>
      <c r="R1" s="203"/>
      <c r="S1" s="203"/>
      <c r="T1" s="203"/>
      <c r="U1" s="203"/>
      <c r="V1" s="203"/>
      <c r="W1" s="203"/>
    </row>
    <row r="2" spans="2:42" x14ac:dyDescent="0.25">
      <c r="B2" s="5" t="s">
        <v>0</v>
      </c>
      <c r="N2" s="5" t="s">
        <v>0</v>
      </c>
    </row>
    <row r="3" spans="2:42" x14ac:dyDescent="0.25">
      <c r="B3" s="5">
        <v>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N3" s="5">
        <v>0.75862068965517238</v>
      </c>
      <c r="O3" s="5">
        <v>0.20689655172413793</v>
      </c>
      <c r="P3" s="5">
        <v>3.4482758620689655E-2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Z3" s="5" t="s">
        <v>158</v>
      </c>
    </row>
    <row r="4" spans="2:42" x14ac:dyDescent="0.25">
      <c r="B4" s="5">
        <v>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N4" s="5">
        <v>1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Z4" s="5">
        <v>0.89655172413793105</v>
      </c>
      <c r="AA4" s="5">
        <v>6.8965517241379309E-2</v>
      </c>
      <c r="AB4" s="5">
        <v>3.4482758620689655E-2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L4" s="5"/>
      <c r="AM4" s="5" t="s">
        <v>164</v>
      </c>
      <c r="AN4" s="5" t="s">
        <v>165</v>
      </c>
      <c r="AO4" s="5" t="s">
        <v>166</v>
      </c>
      <c r="AP4" s="5" t="s">
        <v>167</v>
      </c>
    </row>
    <row r="5" spans="2:42" x14ac:dyDescent="0.25">
      <c r="B5" s="5">
        <v>0.75</v>
      </c>
      <c r="C5" s="5">
        <v>0.125</v>
      </c>
      <c r="D5" s="5">
        <v>0.125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N5" s="5">
        <v>0.625</v>
      </c>
      <c r="O5" s="5">
        <v>0.25</v>
      </c>
      <c r="P5" s="5">
        <v>0.125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Z5" s="5">
        <v>0</v>
      </c>
      <c r="AA5" s="5">
        <v>1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L5" s="5">
        <v>1</v>
      </c>
      <c r="AM5" s="5">
        <v>3.048780487804878E-2</v>
      </c>
      <c r="AN5" s="5">
        <v>6.4935064935064939E-3</v>
      </c>
      <c r="AO5" s="5">
        <v>5.9523809523809521E-3</v>
      </c>
      <c r="AP5" s="5">
        <v>6.41025641025641E-3</v>
      </c>
    </row>
    <row r="6" spans="2:42" x14ac:dyDescent="0.25">
      <c r="B6" s="5">
        <v>0.4</v>
      </c>
      <c r="C6" s="5">
        <v>0.33333333333333331</v>
      </c>
      <c r="D6" s="5">
        <v>0.2</v>
      </c>
      <c r="E6" s="5">
        <v>6.6666666666666666E-2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N6" s="5">
        <v>0.53333333333333333</v>
      </c>
      <c r="O6" s="5">
        <v>0.26666666666666666</v>
      </c>
      <c r="P6" s="5">
        <v>0.2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Z6" s="5">
        <v>0.875</v>
      </c>
      <c r="AA6" s="5">
        <v>0</v>
      </c>
      <c r="AB6" s="5">
        <v>0.125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L6" s="5">
        <v>2</v>
      </c>
      <c r="AM6" s="5">
        <v>0.43902439024390244</v>
      </c>
      <c r="AN6" s="5">
        <v>0.20779220779220781</v>
      </c>
      <c r="AO6" s="5">
        <v>0</v>
      </c>
      <c r="AP6" s="5">
        <v>0</v>
      </c>
    </row>
    <row r="7" spans="2:42" x14ac:dyDescent="0.25">
      <c r="B7" s="5">
        <v>0.3888888888888889</v>
      </c>
      <c r="C7" s="5">
        <v>0.44444444444444442</v>
      </c>
      <c r="D7" s="5">
        <v>0.16666666666666666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N7" s="5">
        <v>0.55555555555555558</v>
      </c>
      <c r="O7" s="5">
        <v>0.22222222222222221</v>
      </c>
      <c r="P7" s="5">
        <v>0.22222222222222221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Z7" s="5">
        <v>0.66666666666666663</v>
      </c>
      <c r="AA7" s="5">
        <v>0.2</v>
      </c>
      <c r="AB7" s="5">
        <v>0.13333333333333333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L7" s="5">
        <v>3</v>
      </c>
      <c r="AM7" s="5">
        <v>5.4878048780487805E-2</v>
      </c>
      <c r="AN7" s="5">
        <v>6.4935064935064929E-2</v>
      </c>
      <c r="AO7" s="5">
        <v>0.11904761904761904</v>
      </c>
      <c r="AP7" s="5">
        <v>7.6923076923076927E-2</v>
      </c>
    </row>
    <row r="8" spans="2:42" x14ac:dyDescent="0.25">
      <c r="B8" s="5">
        <v>0</v>
      </c>
      <c r="C8" s="5">
        <v>0.6</v>
      </c>
      <c r="D8" s="5">
        <v>0.4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N8" s="5">
        <v>0.6</v>
      </c>
      <c r="O8" s="5">
        <v>0.4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Z8" s="5">
        <v>0.83333333333333337</v>
      </c>
      <c r="AA8" s="5">
        <v>5.5555555555555552E-2</v>
      </c>
      <c r="AB8" s="5">
        <v>0.1111111111111111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L8" s="5">
        <v>4</v>
      </c>
      <c r="AM8" s="5">
        <v>0.29878048780487804</v>
      </c>
      <c r="AN8" s="5">
        <v>0.33766233766233766</v>
      </c>
      <c r="AO8" s="5">
        <v>0.36904761904761907</v>
      </c>
      <c r="AP8" s="5">
        <v>0.25</v>
      </c>
    </row>
    <row r="9" spans="2:42" x14ac:dyDescent="0.25"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s="5">
        <v>1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L9" s="5">
        <v>5</v>
      </c>
      <c r="AM9" s="5">
        <v>0.17682926829268292</v>
      </c>
      <c r="AN9" s="5">
        <v>0.38311688311688313</v>
      </c>
      <c r="AO9" s="5">
        <v>0.50595238095238093</v>
      </c>
      <c r="AP9" s="5">
        <v>0.66666666666666663</v>
      </c>
    </row>
    <row r="10" spans="2:42" x14ac:dyDescent="0.25"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</row>
    <row r="11" spans="2:42" x14ac:dyDescent="0.25">
      <c r="B11" s="5">
        <v>0</v>
      </c>
      <c r="C11" s="5">
        <v>1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N11" s="5">
        <v>1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</row>
    <row r="12" spans="2:42" x14ac:dyDescent="0.25"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 s="5">
        <v>1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</row>
    <row r="13" spans="2:42" x14ac:dyDescent="0.25">
      <c r="B13" s="5">
        <v>1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N13" s="5">
        <v>1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</row>
    <row r="14" spans="2:42" x14ac:dyDescent="0.25">
      <c r="Z14" s="5">
        <v>1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</row>
    <row r="15" spans="2:42" x14ac:dyDescent="0.25">
      <c r="B15" s="5" t="s">
        <v>1</v>
      </c>
      <c r="N15" s="5" t="s">
        <v>1</v>
      </c>
    </row>
    <row r="16" spans="2:42" x14ac:dyDescent="0.25"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 s="5" t="s">
        <v>159</v>
      </c>
    </row>
    <row r="17" spans="2:36" x14ac:dyDescent="0.25"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 s="5">
        <v>0.62068965517241381</v>
      </c>
      <c r="AA17" s="5">
        <v>0.27586206896551724</v>
      </c>
      <c r="AB17" s="5">
        <v>0.10344827586206896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</row>
    <row r="18" spans="2:36" x14ac:dyDescent="0.25"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 s="5">
        <v>0</v>
      </c>
      <c r="AA18" s="5">
        <v>0</v>
      </c>
      <c r="AB18" s="5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</row>
    <row r="19" spans="2:36" x14ac:dyDescent="0.25">
      <c r="B19" s="5">
        <v>0</v>
      </c>
      <c r="C19" s="5">
        <v>0</v>
      </c>
      <c r="D19" s="5">
        <v>0</v>
      </c>
      <c r="E19" s="5">
        <v>0</v>
      </c>
      <c r="F19" s="5">
        <v>1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N19" s="5">
        <v>0</v>
      </c>
      <c r="O19" s="5">
        <v>0</v>
      </c>
      <c r="P19" s="5">
        <v>1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 s="5">
        <v>0.5</v>
      </c>
      <c r="AA19" s="5">
        <v>0.375</v>
      </c>
      <c r="AB19" s="5">
        <v>0.125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</row>
    <row r="20" spans="2:36" x14ac:dyDescent="0.25">
      <c r="B20" s="5">
        <v>0</v>
      </c>
      <c r="C20" s="5">
        <v>0</v>
      </c>
      <c r="D20" s="5">
        <v>1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N20" s="5">
        <v>1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 s="5">
        <v>0.6</v>
      </c>
      <c r="AA20" s="5">
        <v>0.26666666666666666</v>
      </c>
      <c r="AB20" s="5">
        <v>0.13333333333333333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</row>
    <row r="21" spans="2:36" x14ac:dyDescent="0.25">
      <c r="B21" s="5">
        <v>0.66666666666666663</v>
      </c>
      <c r="C21" s="5">
        <v>0</v>
      </c>
      <c r="D21" s="5">
        <v>0.33333333333333331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N21" s="5">
        <v>0.66666666666666663</v>
      </c>
      <c r="O21" s="5">
        <v>0.33333333333333331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 s="5">
        <v>0.72222222222222221</v>
      </c>
      <c r="AA21" s="5">
        <v>0.27777777777777779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</row>
    <row r="22" spans="2:36" x14ac:dyDescent="0.25">
      <c r="B22" s="5">
        <v>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N22" s="5">
        <v>0</v>
      </c>
      <c r="O22" s="5">
        <v>1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 s="5">
        <v>0.8</v>
      </c>
      <c r="AA22" s="5">
        <v>0.2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</row>
    <row r="23" spans="2:36" x14ac:dyDescent="0.25">
      <c r="B23" s="5">
        <v>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N23" s="5">
        <v>0.66666666666666663</v>
      </c>
      <c r="O23" s="5">
        <v>0.33333333333333331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</row>
    <row r="24" spans="2:36" x14ac:dyDescent="0.25">
      <c r="B24" s="5">
        <v>0.29411764705882354</v>
      </c>
      <c r="C24" s="5">
        <v>0.41176470588235292</v>
      </c>
      <c r="D24" s="5">
        <v>0.23529411764705882</v>
      </c>
      <c r="E24" s="5">
        <v>5.8823529411764705E-2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N24" s="5">
        <v>0.52941176470588236</v>
      </c>
      <c r="O24" s="5">
        <v>0.23529411764705882</v>
      </c>
      <c r="P24" s="5">
        <v>0.11764705882352941</v>
      </c>
      <c r="Q24" s="5">
        <v>0.11764705882352941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</row>
    <row r="25" spans="2:36" x14ac:dyDescent="0.25">
      <c r="B25" s="5">
        <v>0.29411764705882354</v>
      </c>
      <c r="C25" s="5">
        <v>0.17647058823529413</v>
      </c>
      <c r="D25" s="5">
        <v>0.35294117647058826</v>
      </c>
      <c r="E25" s="5">
        <v>0.17647058823529413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N25" s="5">
        <v>0.29411764705882354</v>
      </c>
      <c r="O25" s="5">
        <v>0.58823529411764708</v>
      </c>
      <c r="P25" s="5">
        <v>5.8823529411764705E-2</v>
      </c>
      <c r="Q25" s="5">
        <v>5.8823529411764705E-2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 s="5">
        <v>1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</row>
    <row r="26" spans="2:36" x14ac:dyDescent="0.25">
      <c r="B26" s="5">
        <v>0.43333333333333335</v>
      </c>
      <c r="C26" s="5">
        <v>0.23333333333333334</v>
      </c>
      <c r="D26" s="5">
        <v>0.13333333333333333</v>
      </c>
      <c r="E26" s="5">
        <v>0.13333333333333333</v>
      </c>
      <c r="F26" s="5">
        <v>6.6666666666666666E-2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N26" s="5">
        <v>0.46666666666666667</v>
      </c>
      <c r="O26" s="5">
        <v>0.3</v>
      </c>
      <c r="P26" s="5">
        <v>0.13333333333333333</v>
      </c>
      <c r="Q26" s="5">
        <v>0</v>
      </c>
      <c r="R26" s="5">
        <v>3.3333333333333333E-2</v>
      </c>
      <c r="S26" s="5">
        <v>3.3333333333333333E-2</v>
      </c>
      <c r="T26" s="5">
        <v>3.3333333333333333E-2</v>
      </c>
      <c r="U26" s="5">
        <v>0</v>
      </c>
      <c r="V26" s="5">
        <v>0</v>
      </c>
      <c r="W26" s="5">
        <v>0</v>
      </c>
      <c r="X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</row>
    <row r="27" spans="2:36" x14ac:dyDescent="0.25">
      <c r="Z27" s="5">
        <v>1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</row>
    <row r="28" spans="2:36" x14ac:dyDescent="0.25">
      <c r="B28" s="5" t="s">
        <v>3</v>
      </c>
      <c r="N28" s="5" t="s">
        <v>3</v>
      </c>
    </row>
    <row r="29" spans="2:36" x14ac:dyDescent="0.25">
      <c r="B29" s="5">
        <v>7.1428571428571425E-2</v>
      </c>
      <c r="C29" s="5">
        <v>0.7142857142857143</v>
      </c>
      <c r="D29" s="5">
        <v>0.21428571428571427</v>
      </c>
      <c r="E29" s="5">
        <v>0</v>
      </c>
      <c r="N29" s="5">
        <v>0</v>
      </c>
      <c r="O29" s="5">
        <v>0.42857142857142855</v>
      </c>
      <c r="P29" s="5">
        <v>0.42857142857142855</v>
      </c>
      <c r="Q29" s="5">
        <v>0.14285714285714285</v>
      </c>
      <c r="Z29" s="5" t="s">
        <v>160</v>
      </c>
    </row>
    <row r="30" spans="2:36" x14ac:dyDescent="0.25">
      <c r="B30" s="5">
        <v>0</v>
      </c>
      <c r="C30" s="5">
        <v>0.54347826086956519</v>
      </c>
      <c r="D30" s="5">
        <v>0.39130434782608697</v>
      </c>
      <c r="E30" s="5">
        <v>6.5217391304347824E-2</v>
      </c>
      <c r="N30" s="5">
        <v>0</v>
      </c>
      <c r="O30" s="5">
        <v>0.28260869565217389</v>
      </c>
      <c r="P30" s="5">
        <v>0.2608695652173913</v>
      </c>
      <c r="Q30" s="5">
        <v>0.45652173913043476</v>
      </c>
      <c r="Z30" s="5">
        <v>0.44827586206896552</v>
      </c>
      <c r="AA30" s="5">
        <v>0.31034482758620691</v>
      </c>
      <c r="AB30" s="5">
        <v>0.2413793103448276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</row>
    <row r="31" spans="2:36" x14ac:dyDescent="0.25">
      <c r="B31" s="5">
        <v>0</v>
      </c>
      <c r="C31" s="5">
        <v>0.27777777777777779</v>
      </c>
      <c r="D31" s="5">
        <v>0.61111111111111116</v>
      </c>
      <c r="E31" s="5">
        <v>0.1111111111111111</v>
      </c>
      <c r="N31" s="5">
        <v>0</v>
      </c>
      <c r="O31" s="5">
        <v>0.22222222222222221</v>
      </c>
      <c r="P31" s="5">
        <v>0.3888888888888889</v>
      </c>
      <c r="Q31" s="5">
        <v>0.3888888888888889</v>
      </c>
      <c r="Z31" s="5">
        <v>0</v>
      </c>
      <c r="AA31" s="5">
        <v>1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</row>
    <row r="32" spans="2:36" x14ac:dyDescent="0.25">
      <c r="B32" s="5">
        <v>0</v>
      </c>
      <c r="C32" s="5">
        <v>0</v>
      </c>
      <c r="D32" s="5">
        <v>0</v>
      </c>
      <c r="E32" s="5">
        <v>0</v>
      </c>
      <c r="N32" s="5">
        <v>0</v>
      </c>
      <c r="O32" s="5">
        <v>0</v>
      </c>
      <c r="P32" s="5">
        <v>0</v>
      </c>
      <c r="Q32" s="5">
        <v>0</v>
      </c>
      <c r="Z32" s="5">
        <v>0.25</v>
      </c>
      <c r="AA32" s="5">
        <v>0.625</v>
      </c>
      <c r="AB32" s="5">
        <v>0.125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</row>
    <row r="33" spans="2:36" x14ac:dyDescent="0.25">
      <c r="Z33" s="5">
        <v>0.4</v>
      </c>
      <c r="AA33" s="5">
        <v>0.33333333333333331</v>
      </c>
      <c r="AB33" s="5">
        <v>0.13333333333333333</v>
      </c>
      <c r="AC33" s="5">
        <v>0.13333333333333333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</row>
    <row r="34" spans="2:36" x14ac:dyDescent="0.25">
      <c r="B34" s="5" t="s">
        <v>4</v>
      </c>
      <c r="N34" s="5" t="s">
        <v>4</v>
      </c>
      <c r="Z34" s="5">
        <v>0.44444444444444442</v>
      </c>
      <c r="AA34" s="5">
        <v>0.3888888888888889</v>
      </c>
      <c r="AB34" s="5">
        <v>0.1111111111111111</v>
      </c>
      <c r="AC34" s="5">
        <v>5.5555555555555552E-2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</row>
    <row r="35" spans="2:36" x14ac:dyDescent="0.25">
      <c r="B35" s="5">
        <v>0.1111111111111111</v>
      </c>
      <c r="C35" s="5">
        <v>0.22222222222222221</v>
      </c>
      <c r="D35" s="5">
        <v>0.66666666666666663</v>
      </c>
      <c r="E35" s="5">
        <v>0</v>
      </c>
      <c r="N35" s="5">
        <v>0</v>
      </c>
      <c r="O35" s="5">
        <v>0.22222222222222221</v>
      </c>
      <c r="P35" s="5">
        <v>0.55555555555555558</v>
      </c>
      <c r="Q35" s="5">
        <v>0.22222222222222221</v>
      </c>
      <c r="Z35" s="5">
        <v>0.8</v>
      </c>
      <c r="AA35" s="5">
        <v>0.2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</row>
    <row r="36" spans="2:36" x14ac:dyDescent="0.25">
      <c r="B36" s="5">
        <v>0</v>
      </c>
      <c r="C36" s="5">
        <v>0.56756756756756754</v>
      </c>
      <c r="D36" s="5">
        <v>0.3783783783783784</v>
      </c>
      <c r="E36" s="5">
        <v>5.4054054054054057E-2</v>
      </c>
      <c r="N36" s="5">
        <v>0</v>
      </c>
      <c r="O36" s="5">
        <v>0.27027027027027029</v>
      </c>
      <c r="P36" s="5">
        <v>0.24324324324324326</v>
      </c>
      <c r="Q36" s="5">
        <v>0.48648648648648651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</row>
    <row r="37" spans="2:36" x14ac:dyDescent="0.25">
      <c r="B37" s="5">
        <v>0</v>
      </c>
      <c r="C37" s="5">
        <v>0.23076923076923078</v>
      </c>
      <c r="D37" s="5">
        <v>0.57692307692307687</v>
      </c>
      <c r="E37" s="5">
        <v>0.19230769230769232</v>
      </c>
      <c r="N37" s="5">
        <v>0</v>
      </c>
      <c r="O37" s="5">
        <v>0.34615384615384615</v>
      </c>
      <c r="P37" s="5">
        <v>0.23076923076923078</v>
      </c>
      <c r="Q37" s="5">
        <v>0.42307692307692307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</row>
    <row r="38" spans="2:36" x14ac:dyDescent="0.25">
      <c r="B38" s="5">
        <v>0</v>
      </c>
      <c r="C38" s="5">
        <v>0</v>
      </c>
      <c r="D38" s="5">
        <v>0.66666666666666663</v>
      </c>
      <c r="E38" s="5">
        <v>0.33333333333333331</v>
      </c>
      <c r="N38" s="5">
        <v>0</v>
      </c>
      <c r="O38" s="5">
        <v>0.16666666666666666</v>
      </c>
      <c r="P38" s="5">
        <v>0.33333333333333331</v>
      </c>
      <c r="Q38" s="5">
        <v>0.5</v>
      </c>
      <c r="Z38" s="5">
        <v>1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</row>
    <row r="39" spans="2:36" x14ac:dyDescent="0.25"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</row>
    <row r="40" spans="2:36" x14ac:dyDescent="0.25">
      <c r="B40" s="5" t="s">
        <v>5</v>
      </c>
      <c r="N40" s="5" t="s">
        <v>5</v>
      </c>
      <c r="Z40" s="5">
        <v>1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</row>
    <row r="41" spans="2:36" x14ac:dyDescent="0.25">
      <c r="B41" s="5">
        <v>0.20833333333333334</v>
      </c>
      <c r="C41" s="5">
        <v>0.58333333333333337</v>
      </c>
      <c r="D41" s="5">
        <v>0.16666666666666666</v>
      </c>
      <c r="E41" s="5">
        <v>4.1666666666666664E-2</v>
      </c>
      <c r="N41" s="5">
        <v>0.125</v>
      </c>
      <c r="O41" s="5">
        <v>0.16666666666666666</v>
      </c>
      <c r="P41" s="5">
        <v>0.33333333333333331</v>
      </c>
      <c r="Q41" s="5">
        <v>0.375</v>
      </c>
    </row>
    <row r="42" spans="2:36" x14ac:dyDescent="0.25">
      <c r="B42" s="5">
        <v>4.1666666666666664E-2</v>
      </c>
      <c r="C42" s="5">
        <v>0.5625</v>
      </c>
      <c r="D42" s="5">
        <v>0.33333333333333331</v>
      </c>
      <c r="E42" s="5">
        <v>6.25E-2</v>
      </c>
      <c r="N42" s="5">
        <v>4.1666666666666664E-2</v>
      </c>
      <c r="O42" s="5">
        <v>0.125</v>
      </c>
      <c r="P42" s="5">
        <v>0.35416666666666669</v>
      </c>
      <c r="Q42" s="5">
        <v>0.47916666666666669</v>
      </c>
      <c r="Z42" s="5" t="s">
        <v>161</v>
      </c>
    </row>
    <row r="43" spans="2:36" x14ac:dyDescent="0.25">
      <c r="B43" s="5">
        <v>0</v>
      </c>
      <c r="C43" s="5">
        <v>0.2</v>
      </c>
      <c r="D43" s="5">
        <v>0.6</v>
      </c>
      <c r="E43" s="5">
        <v>0.2</v>
      </c>
      <c r="N43" s="5">
        <v>0</v>
      </c>
      <c r="O43" s="5">
        <v>0</v>
      </c>
      <c r="P43" s="5">
        <v>0.6</v>
      </c>
      <c r="Q43" s="5">
        <v>0.4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</row>
    <row r="44" spans="2:36" x14ac:dyDescent="0.25">
      <c r="B44" s="5">
        <v>0</v>
      </c>
      <c r="C44" s="5">
        <v>0</v>
      </c>
      <c r="D44" s="5">
        <v>0</v>
      </c>
      <c r="E44" s="5">
        <v>1</v>
      </c>
      <c r="N44" s="5">
        <v>0</v>
      </c>
      <c r="O44" s="5">
        <v>0</v>
      </c>
      <c r="P44" s="5">
        <v>1</v>
      </c>
      <c r="Q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</row>
    <row r="45" spans="2:36" x14ac:dyDescent="0.25"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</row>
    <row r="46" spans="2:36" x14ac:dyDescent="0.25">
      <c r="B46" s="5" t="s">
        <v>6</v>
      </c>
      <c r="N46" s="5" t="s">
        <v>6</v>
      </c>
      <c r="Z46" s="5">
        <v>0</v>
      </c>
      <c r="AA46" s="5">
        <v>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</row>
    <row r="47" spans="2:36" x14ac:dyDescent="0.25">
      <c r="B47" s="5">
        <v>1</v>
      </c>
      <c r="C47" s="5">
        <v>0</v>
      </c>
      <c r="D47" s="5">
        <v>0</v>
      </c>
      <c r="E47" s="5">
        <v>0</v>
      </c>
      <c r="F47" s="5">
        <v>0</v>
      </c>
      <c r="N47" s="5">
        <v>1</v>
      </c>
      <c r="O47" s="5">
        <v>0</v>
      </c>
      <c r="P47" s="5">
        <v>0</v>
      </c>
      <c r="Q47" s="5">
        <v>0</v>
      </c>
      <c r="R47" s="5">
        <v>0</v>
      </c>
      <c r="Z47" s="5">
        <v>1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</row>
    <row r="48" spans="2:36" x14ac:dyDescent="0.25">
      <c r="B48" s="5">
        <v>0.19047619047619047</v>
      </c>
      <c r="C48" s="5">
        <v>0.52380952380952384</v>
      </c>
      <c r="D48" s="5">
        <v>0.2857142857142857</v>
      </c>
      <c r="E48" s="5">
        <v>0</v>
      </c>
      <c r="F48" s="5">
        <v>0</v>
      </c>
      <c r="N48" s="5">
        <v>4.7619047619047616E-2</v>
      </c>
      <c r="O48" s="5">
        <v>0.5714285714285714</v>
      </c>
      <c r="P48" s="5">
        <v>0.38095238095238093</v>
      </c>
      <c r="Q48" s="5">
        <v>0</v>
      </c>
      <c r="R48" s="5">
        <v>0</v>
      </c>
      <c r="Z48" s="5">
        <v>0.66666666666666663</v>
      </c>
      <c r="AA48" s="5">
        <v>0.33333333333333331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</row>
    <row r="49" spans="2:36" x14ac:dyDescent="0.25">
      <c r="B49" s="5">
        <v>8.8235294117647065E-2</v>
      </c>
      <c r="C49" s="5">
        <v>0.67647058823529416</v>
      </c>
      <c r="D49" s="5">
        <v>0.20588235294117646</v>
      </c>
      <c r="E49" s="5">
        <v>0</v>
      </c>
      <c r="F49" s="5">
        <v>2.9411764705882353E-2</v>
      </c>
      <c r="N49" s="5">
        <v>0.17647058823529413</v>
      </c>
      <c r="O49" s="5">
        <v>0.61764705882352944</v>
      </c>
      <c r="P49" s="5">
        <v>0.20588235294117646</v>
      </c>
      <c r="Q49" s="5">
        <v>0</v>
      </c>
      <c r="R49" s="5">
        <v>0</v>
      </c>
      <c r="Z49" s="5">
        <v>0</v>
      </c>
      <c r="AA49" s="5">
        <v>1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</row>
    <row r="50" spans="2:36" x14ac:dyDescent="0.25">
      <c r="B50" s="5">
        <v>0.125</v>
      </c>
      <c r="C50" s="5">
        <v>0.75</v>
      </c>
      <c r="D50" s="5">
        <v>6.25E-2</v>
      </c>
      <c r="E50" s="5">
        <v>0</v>
      </c>
      <c r="F50" s="5">
        <v>6.25E-2</v>
      </c>
      <c r="N50" s="5">
        <v>0</v>
      </c>
      <c r="O50" s="5">
        <v>0.6875</v>
      </c>
      <c r="P50" s="5">
        <v>0.3125</v>
      </c>
      <c r="Q50" s="5">
        <v>0</v>
      </c>
      <c r="R50" s="5">
        <v>0</v>
      </c>
      <c r="Z50" s="5">
        <v>0.33333333333333331</v>
      </c>
      <c r="AA50" s="5">
        <v>0.33333333333333331</v>
      </c>
      <c r="AB50" s="5">
        <v>0.33333333333333331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</row>
    <row r="51" spans="2:36" x14ac:dyDescent="0.25">
      <c r="B51" s="5">
        <v>0</v>
      </c>
      <c r="C51" s="5">
        <v>0.66666666666666663</v>
      </c>
      <c r="D51" s="5">
        <v>0.16666666666666666</v>
      </c>
      <c r="E51" s="5">
        <v>0</v>
      </c>
      <c r="F51" s="5">
        <v>0.16666666666666666</v>
      </c>
      <c r="N51" s="5">
        <v>0.33333333333333331</v>
      </c>
      <c r="O51" s="5">
        <v>0.16666666666666666</v>
      </c>
      <c r="P51" s="5">
        <v>0.5</v>
      </c>
      <c r="Q51" s="5">
        <v>0</v>
      </c>
      <c r="R51" s="5">
        <v>0</v>
      </c>
      <c r="Z51" s="5">
        <v>0.41176470588235292</v>
      </c>
      <c r="AA51" s="5">
        <v>0.41176470588235292</v>
      </c>
      <c r="AB51" s="5">
        <v>0.17647058823529413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</row>
    <row r="52" spans="2:36" x14ac:dyDescent="0.25">
      <c r="Z52" s="5">
        <v>0.35294117647058826</v>
      </c>
      <c r="AA52" s="5">
        <v>0.47058823529411764</v>
      </c>
      <c r="AB52" s="5">
        <v>0.11764705882352941</v>
      </c>
      <c r="AC52" s="5">
        <v>5.8823529411764705E-2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</row>
    <row r="53" spans="2:36" x14ac:dyDescent="0.25">
      <c r="B53" s="5" t="s">
        <v>16</v>
      </c>
      <c r="N53" s="5" t="s">
        <v>16</v>
      </c>
      <c r="Z53" s="5">
        <v>0.4</v>
      </c>
      <c r="AA53" s="5">
        <v>0.46666666666666667</v>
      </c>
      <c r="AB53" s="5">
        <v>0</v>
      </c>
      <c r="AC53" s="5">
        <v>3.3333333333333333E-2</v>
      </c>
      <c r="AD53" s="5">
        <v>3.3333333333333333E-2</v>
      </c>
      <c r="AE53" s="5">
        <v>3.3333333333333333E-2</v>
      </c>
      <c r="AF53" s="5">
        <v>0</v>
      </c>
      <c r="AG53" s="5">
        <v>0</v>
      </c>
      <c r="AH53" s="5">
        <v>3.3333333333333333E-2</v>
      </c>
      <c r="AI53" s="5">
        <v>0</v>
      </c>
      <c r="AJ53" s="5">
        <v>0</v>
      </c>
    </row>
    <row r="54" spans="2:36" x14ac:dyDescent="0.25">
      <c r="B54" s="5">
        <v>0.81132075471698117</v>
      </c>
      <c r="C54" s="5">
        <v>1.8867924528301886E-2</v>
      </c>
      <c r="D54" s="5">
        <v>0.16981132075471697</v>
      </c>
      <c r="N54" s="5">
        <v>0.84905660377358494</v>
      </c>
      <c r="O54" s="5">
        <v>0.11320754716981132</v>
      </c>
      <c r="P54" s="5">
        <v>3.7735849056603772E-2</v>
      </c>
    </row>
    <row r="55" spans="2:36" x14ac:dyDescent="0.25">
      <c r="B55" s="5">
        <v>0.625</v>
      </c>
      <c r="C55" s="5">
        <v>6.25E-2</v>
      </c>
      <c r="D55" s="5">
        <v>0.3125</v>
      </c>
      <c r="N55" s="5">
        <v>0.75</v>
      </c>
      <c r="O55" s="5">
        <v>0.1875</v>
      </c>
      <c r="P55" s="5">
        <v>6.25E-2</v>
      </c>
      <c r="Z55" s="5" t="s">
        <v>163</v>
      </c>
    </row>
    <row r="56" spans="2:36" x14ac:dyDescent="0.25">
      <c r="B56" s="5">
        <v>0.33333333333333331</v>
      </c>
      <c r="C56" s="5">
        <v>0.33333333333333331</v>
      </c>
      <c r="D56" s="5">
        <v>0.33333333333333331</v>
      </c>
      <c r="N56" s="5">
        <v>0.55555555555555558</v>
      </c>
      <c r="O56" s="5">
        <v>0.33333333333333331</v>
      </c>
      <c r="P56" s="5">
        <v>0.1111111111111111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</row>
    <row r="57" spans="2:36" x14ac:dyDescent="0.25"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</row>
    <row r="58" spans="2:36" x14ac:dyDescent="0.25">
      <c r="B58" s="5" t="s">
        <v>17</v>
      </c>
      <c r="N58" s="5" t="s">
        <v>17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</row>
    <row r="59" spans="2:36" x14ac:dyDescent="0.25">
      <c r="B59" s="5">
        <v>0.67441860465116277</v>
      </c>
      <c r="C59" s="5">
        <v>0.23255813953488372</v>
      </c>
      <c r="D59" s="5">
        <v>9.3023255813953487E-2</v>
      </c>
      <c r="N59" s="5">
        <v>0.81395348837209303</v>
      </c>
      <c r="O59" s="5">
        <v>0.16279069767441862</v>
      </c>
      <c r="P59" s="5">
        <v>2.3255813953488372E-2</v>
      </c>
      <c r="Z59" s="5">
        <v>1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</row>
    <row r="60" spans="2:36" x14ac:dyDescent="0.25">
      <c r="B60" s="5">
        <v>0.56521739130434778</v>
      </c>
      <c r="C60" s="5">
        <v>0.13043478260869565</v>
      </c>
      <c r="D60" s="5">
        <v>0.30434782608695654</v>
      </c>
      <c r="N60" s="5">
        <v>0.69565217391304346</v>
      </c>
      <c r="O60" s="5">
        <v>0.17391304347826086</v>
      </c>
      <c r="P60" s="5">
        <v>0.13043478260869565</v>
      </c>
      <c r="Z60" s="5">
        <v>1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</row>
    <row r="61" spans="2:36" x14ac:dyDescent="0.25">
      <c r="B61" s="5">
        <v>0.33333333333333331</v>
      </c>
      <c r="C61" s="5">
        <v>0.33333333333333331</v>
      </c>
      <c r="D61" s="5">
        <v>0.33333333333333331</v>
      </c>
      <c r="N61" s="5">
        <v>0.58333333333333337</v>
      </c>
      <c r="O61" s="5">
        <v>0.41666666666666669</v>
      </c>
      <c r="P61" s="5">
        <v>0</v>
      </c>
      <c r="Z61" s="5">
        <v>0.66666666666666663</v>
      </c>
      <c r="AA61" s="5">
        <v>0.33333333333333331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</row>
    <row r="62" spans="2:36" x14ac:dyDescent="0.25">
      <c r="Z62" s="5">
        <v>0</v>
      </c>
      <c r="AA62" s="5">
        <v>1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</row>
    <row r="63" spans="2:36" x14ac:dyDescent="0.25">
      <c r="B63" s="5" t="s">
        <v>7</v>
      </c>
      <c r="N63" s="5" t="s">
        <v>7</v>
      </c>
      <c r="Z63" s="5">
        <v>0.33333333333333331</v>
      </c>
      <c r="AA63" s="5">
        <v>0.33333333333333331</v>
      </c>
      <c r="AB63" s="5">
        <v>0.33333333333333331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</row>
    <row r="64" spans="2:36" x14ac:dyDescent="0.25">
      <c r="B64" s="5">
        <v>0.36842105263157893</v>
      </c>
      <c r="C64" s="5">
        <v>0.42105263157894735</v>
      </c>
      <c r="D64" s="5">
        <v>0.21052631578947367</v>
      </c>
      <c r="N64" s="5">
        <v>0.42105263157894735</v>
      </c>
      <c r="O64" s="5">
        <v>0.47368421052631576</v>
      </c>
      <c r="P64" s="5">
        <v>0.10526315789473684</v>
      </c>
      <c r="Z64" s="5">
        <v>0.47058823529411764</v>
      </c>
      <c r="AA64" s="5">
        <v>0.41176470588235292</v>
      </c>
      <c r="AB64" s="5">
        <v>0.11764705882352941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</row>
    <row r="65" spans="2:36" x14ac:dyDescent="0.25">
      <c r="B65" s="5">
        <v>0.32</v>
      </c>
      <c r="C65" s="5">
        <v>0.4</v>
      </c>
      <c r="D65" s="5">
        <v>0.28000000000000003</v>
      </c>
      <c r="N65" s="5">
        <v>0.36</v>
      </c>
      <c r="O65" s="5">
        <v>0.52</v>
      </c>
      <c r="P65" s="5">
        <v>0.12</v>
      </c>
      <c r="Z65" s="5">
        <v>0.35294117647058826</v>
      </c>
      <c r="AA65" s="5">
        <v>0.52941176470588236</v>
      </c>
      <c r="AB65" s="5">
        <v>5.8823529411764705E-2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5.8823529411764705E-2</v>
      </c>
      <c r="AI65" s="5">
        <v>0</v>
      </c>
      <c r="AJ65" s="5">
        <v>0</v>
      </c>
    </row>
    <row r="66" spans="2:36" x14ac:dyDescent="0.25">
      <c r="B66" s="5">
        <v>0.38235294117647056</v>
      </c>
      <c r="C66" s="5">
        <v>0.23529411764705882</v>
      </c>
      <c r="D66" s="5">
        <v>0.38235294117647056</v>
      </c>
      <c r="N66" s="5">
        <v>0.3235294117647059</v>
      </c>
      <c r="O66" s="5">
        <v>0.58823529411764708</v>
      </c>
      <c r="P66" s="5">
        <v>8.8235294117647065E-2</v>
      </c>
      <c r="Z66" s="5">
        <v>0.4</v>
      </c>
      <c r="AA66" s="5">
        <v>0.36666666666666664</v>
      </c>
      <c r="AB66" s="5">
        <v>0.13333333333333333</v>
      </c>
      <c r="AC66" s="5">
        <v>3.3333333333333333E-2</v>
      </c>
      <c r="AD66" s="5">
        <v>0</v>
      </c>
      <c r="AE66" s="5">
        <v>0</v>
      </c>
      <c r="AF66" s="5">
        <v>3.3333333333333333E-2</v>
      </c>
      <c r="AG66" s="5">
        <v>0</v>
      </c>
      <c r="AH66" s="5">
        <v>3.3333333333333333E-2</v>
      </c>
      <c r="AI66" s="5">
        <v>0</v>
      </c>
      <c r="AJ66" s="5">
        <v>0</v>
      </c>
    </row>
    <row r="68" spans="2:36" x14ac:dyDescent="0.25">
      <c r="B68" s="5" t="s">
        <v>8</v>
      </c>
      <c r="N68" s="5" t="s">
        <v>8</v>
      </c>
      <c r="Z68" s="5" t="s">
        <v>162</v>
      </c>
    </row>
    <row r="69" spans="2:36" x14ac:dyDescent="0.25">
      <c r="B69" s="5">
        <v>0.16666666666666666</v>
      </c>
      <c r="C69" s="5">
        <v>0.33333333333333331</v>
      </c>
      <c r="D69" s="5">
        <v>0.5</v>
      </c>
      <c r="N69" s="5">
        <v>0.16666666666666666</v>
      </c>
      <c r="O69" s="5">
        <v>0.66666666666666663</v>
      </c>
      <c r="P69" s="5">
        <v>0.16666666666666666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</row>
    <row r="70" spans="2:36" x14ac:dyDescent="0.25">
      <c r="B70" s="5">
        <v>0</v>
      </c>
      <c r="C70" s="5">
        <v>0.33333333333333331</v>
      </c>
      <c r="D70" s="5">
        <v>0.66666666666666663</v>
      </c>
      <c r="N70" s="5">
        <v>0.33333333333333331</v>
      </c>
      <c r="O70" s="5">
        <v>0.44444444444444442</v>
      </c>
      <c r="P70" s="5">
        <v>0.22222222222222221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</row>
    <row r="71" spans="2:36" x14ac:dyDescent="0.25">
      <c r="B71" s="5">
        <v>9.5238095238095233E-2</v>
      </c>
      <c r="C71" s="5">
        <v>0.23809523809523808</v>
      </c>
      <c r="D71" s="5">
        <v>0.66666666666666663</v>
      </c>
      <c r="N71" s="5">
        <v>0.2857142857142857</v>
      </c>
      <c r="O71" s="5">
        <v>0.47619047619047616</v>
      </c>
      <c r="P71" s="5">
        <v>0.23809523809523808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</row>
    <row r="72" spans="2:36" x14ac:dyDescent="0.25">
      <c r="Z72" s="5">
        <v>1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</row>
    <row r="73" spans="2:36" x14ac:dyDescent="0.25">
      <c r="B73" s="5" t="s">
        <v>10</v>
      </c>
      <c r="N73" s="5" t="s">
        <v>10</v>
      </c>
      <c r="Z73" s="5">
        <v>1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</row>
    <row r="74" spans="2:36" x14ac:dyDescent="0.25">
      <c r="B74" s="5">
        <v>0.8392857142857143</v>
      </c>
      <c r="C74" s="5">
        <v>0</v>
      </c>
      <c r="D74" s="5">
        <v>0.10714285714285714</v>
      </c>
      <c r="E74" s="5">
        <v>5.3571428571428568E-2</v>
      </c>
      <c r="N74" s="5">
        <v>0.8392857142857143</v>
      </c>
      <c r="O74" s="5">
        <v>0.125</v>
      </c>
      <c r="P74" s="5">
        <v>3.5714285714285712E-2</v>
      </c>
      <c r="Q74" s="5">
        <v>0</v>
      </c>
      <c r="Z74" s="5">
        <v>0</v>
      </c>
      <c r="AA74" s="5">
        <v>0.66666666666666663</v>
      </c>
      <c r="AB74" s="5">
        <v>0.33333333333333331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</row>
    <row r="75" spans="2:36" x14ac:dyDescent="0.25">
      <c r="B75" s="5">
        <v>0.63636363636363635</v>
      </c>
      <c r="C75" s="5">
        <v>9.0909090909090912E-2</v>
      </c>
      <c r="D75" s="5">
        <v>0.18181818181818182</v>
      </c>
      <c r="E75" s="5">
        <v>9.0909090909090912E-2</v>
      </c>
      <c r="N75" s="5">
        <v>0.54545454545454541</v>
      </c>
      <c r="O75" s="5">
        <v>0.18181818181818182</v>
      </c>
      <c r="P75" s="5">
        <v>0.27272727272727271</v>
      </c>
      <c r="Q75" s="5">
        <v>0</v>
      </c>
      <c r="Z75" s="5">
        <v>0</v>
      </c>
      <c r="AA75" s="5">
        <v>1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</row>
    <row r="76" spans="2:36" x14ac:dyDescent="0.25">
      <c r="B76" s="5">
        <v>0.44444444444444442</v>
      </c>
      <c r="C76" s="5">
        <v>0.22222222222222221</v>
      </c>
      <c r="D76" s="5">
        <v>0.1111111111111111</v>
      </c>
      <c r="E76" s="5">
        <v>0.22222222222222221</v>
      </c>
      <c r="N76" s="5">
        <v>0.55555555555555558</v>
      </c>
      <c r="O76" s="5">
        <v>0.33333333333333331</v>
      </c>
      <c r="P76" s="5">
        <v>0</v>
      </c>
      <c r="Q76" s="5">
        <v>0.1111111111111111</v>
      </c>
      <c r="Z76" s="5">
        <v>0.33333333333333331</v>
      </c>
      <c r="AA76" s="5">
        <v>0.66666666666666663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</row>
    <row r="77" spans="2:36" x14ac:dyDescent="0.25">
      <c r="B77" s="5">
        <v>0.5</v>
      </c>
      <c r="C77" s="5">
        <v>0</v>
      </c>
      <c r="D77" s="5">
        <v>0.5</v>
      </c>
      <c r="E77" s="5">
        <v>0</v>
      </c>
      <c r="N77" s="5">
        <v>1</v>
      </c>
      <c r="O77" s="5">
        <v>0</v>
      </c>
      <c r="P77" s="5">
        <v>0</v>
      </c>
      <c r="Q77" s="5">
        <v>0</v>
      </c>
      <c r="Z77" s="5">
        <v>0.47058823529411764</v>
      </c>
      <c r="AA77" s="5">
        <v>0.29411764705882354</v>
      </c>
      <c r="AB77" s="5">
        <v>0.23529411764705882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</row>
    <row r="78" spans="2:36" x14ac:dyDescent="0.25">
      <c r="Z78" s="5">
        <v>0.29411764705882354</v>
      </c>
      <c r="AA78" s="5">
        <v>0.6470588235294118</v>
      </c>
      <c r="AB78" s="5">
        <v>0</v>
      </c>
      <c r="AC78" s="5">
        <v>5.8823529411764705E-2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</row>
    <row r="79" spans="2:36" x14ac:dyDescent="0.25">
      <c r="Z79" s="5">
        <v>0.4</v>
      </c>
      <c r="AA79" s="5">
        <v>0.43333333333333335</v>
      </c>
      <c r="AB79" s="5">
        <v>0.1</v>
      </c>
      <c r="AC79" s="5">
        <v>6.6666666666666666E-2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</row>
  </sheetData>
  <mergeCells count="2">
    <mergeCell ref="B1:K1"/>
    <mergeCell ref="N1:W1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B1:AP79"/>
  <sheetViews>
    <sheetView showGridLines="0" workbookViewId="0">
      <selection activeCell="B2" sqref="B1:AP1048576"/>
    </sheetView>
  </sheetViews>
  <sheetFormatPr defaultRowHeight="15" x14ac:dyDescent="0.25"/>
  <cols>
    <col min="1" max="1" width="2.42578125" customWidth="1"/>
    <col min="2" max="36" width="4.28515625" style="5" customWidth="1"/>
    <col min="37" max="42" width="4.28515625" customWidth="1"/>
  </cols>
  <sheetData>
    <row r="1" spans="2:42" x14ac:dyDescent="0.25">
      <c r="B1" s="203" t="s">
        <v>59</v>
      </c>
      <c r="C1" s="203"/>
      <c r="D1" s="203"/>
      <c r="E1" s="203"/>
      <c r="F1" s="203"/>
      <c r="G1" s="203"/>
      <c r="H1" s="203"/>
      <c r="I1" s="203"/>
      <c r="J1" s="203"/>
      <c r="K1" s="203"/>
      <c r="N1" s="203" t="s">
        <v>60</v>
      </c>
      <c r="O1" s="203"/>
      <c r="P1" s="203"/>
      <c r="Q1" s="203"/>
      <c r="R1" s="203"/>
      <c r="S1" s="203"/>
      <c r="T1" s="203"/>
      <c r="U1" s="203"/>
      <c r="V1" s="203"/>
      <c r="W1" s="203"/>
    </row>
    <row r="2" spans="2:42" x14ac:dyDescent="0.25">
      <c r="B2" s="5" t="s">
        <v>0</v>
      </c>
      <c r="N2" s="5" t="s">
        <v>0</v>
      </c>
    </row>
    <row r="3" spans="2:42" x14ac:dyDescent="0.25">
      <c r="B3" s="5">
        <v>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N3" s="5">
        <v>0.75862068965517238</v>
      </c>
      <c r="O3" s="5">
        <v>0.20689655172413793</v>
      </c>
      <c r="P3" s="5">
        <v>3.4482758620689655E-2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Z3" s="5" t="s">
        <v>158</v>
      </c>
    </row>
    <row r="4" spans="2:42" x14ac:dyDescent="0.25">
      <c r="B4" s="5">
        <v>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N4" s="5">
        <v>1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Z4" s="5">
        <v>0.89655172413793105</v>
      </c>
      <c r="AA4" s="5">
        <v>6.8965517241379309E-2</v>
      </c>
      <c r="AB4" s="5">
        <v>3.4482758620689655E-2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L4" s="5"/>
      <c r="AM4" s="5" t="s">
        <v>164</v>
      </c>
      <c r="AN4" s="5" t="s">
        <v>165</v>
      </c>
      <c r="AO4" s="5" t="s">
        <v>166</v>
      </c>
      <c r="AP4" s="5" t="s">
        <v>167</v>
      </c>
    </row>
    <row r="5" spans="2:42" x14ac:dyDescent="0.25">
      <c r="B5" s="5">
        <v>0.75</v>
      </c>
      <c r="C5" s="5">
        <v>0.125</v>
      </c>
      <c r="D5" s="5">
        <v>0.125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N5" s="5">
        <v>0.625</v>
      </c>
      <c r="O5" s="5">
        <v>0.25</v>
      </c>
      <c r="P5" s="5">
        <v>0.125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Z5" s="5">
        <v>0</v>
      </c>
      <c r="AA5" s="5">
        <v>1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L5" s="5">
        <v>1</v>
      </c>
      <c r="AM5" s="5">
        <v>3.048780487804878E-2</v>
      </c>
      <c r="AN5" s="5">
        <v>6.4935064935064939E-3</v>
      </c>
      <c r="AO5" s="5">
        <v>5.9523809523809521E-3</v>
      </c>
      <c r="AP5" s="5">
        <v>6.41025641025641E-3</v>
      </c>
    </row>
    <row r="6" spans="2:42" x14ac:dyDescent="0.25">
      <c r="B6" s="5">
        <v>0.4</v>
      </c>
      <c r="C6" s="5">
        <v>0.33333333333333331</v>
      </c>
      <c r="D6" s="5">
        <v>0.2</v>
      </c>
      <c r="E6" s="5">
        <v>6.6666666666666666E-2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N6" s="5">
        <v>0.53333333333333333</v>
      </c>
      <c r="O6" s="5">
        <v>0.26666666666666666</v>
      </c>
      <c r="P6" s="5">
        <v>0.2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Z6" s="5">
        <v>0.875</v>
      </c>
      <c r="AA6" s="5">
        <v>0</v>
      </c>
      <c r="AB6" s="5">
        <v>0.125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L6" s="5">
        <v>2</v>
      </c>
      <c r="AM6" s="5">
        <v>0.43902439024390244</v>
      </c>
      <c r="AN6" s="5">
        <v>0.20779220779220781</v>
      </c>
      <c r="AO6" s="5">
        <v>0</v>
      </c>
      <c r="AP6" s="5">
        <v>0</v>
      </c>
    </row>
    <row r="7" spans="2:42" x14ac:dyDescent="0.25">
      <c r="B7" s="5">
        <v>0.3888888888888889</v>
      </c>
      <c r="C7" s="5">
        <v>0.44444444444444442</v>
      </c>
      <c r="D7" s="5">
        <v>0.16666666666666666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N7" s="5">
        <v>0.55555555555555558</v>
      </c>
      <c r="O7" s="5">
        <v>0.22222222222222221</v>
      </c>
      <c r="P7" s="5">
        <v>0.22222222222222221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Z7" s="5">
        <v>0.66666666666666663</v>
      </c>
      <c r="AA7" s="5">
        <v>0.2</v>
      </c>
      <c r="AB7" s="5">
        <v>0.13333333333333333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L7" s="5">
        <v>3</v>
      </c>
      <c r="AM7" s="5">
        <v>5.4878048780487805E-2</v>
      </c>
      <c r="AN7" s="5">
        <v>6.4935064935064929E-2</v>
      </c>
      <c r="AO7" s="5">
        <v>0.11904761904761904</v>
      </c>
      <c r="AP7" s="5">
        <v>7.6923076923076927E-2</v>
      </c>
    </row>
    <row r="8" spans="2:42" x14ac:dyDescent="0.25">
      <c r="B8" s="5">
        <v>0</v>
      </c>
      <c r="C8" s="5">
        <v>0.6</v>
      </c>
      <c r="D8" s="5">
        <v>0.4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N8" s="5">
        <v>0.6</v>
      </c>
      <c r="O8" s="5">
        <v>0.4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Z8" s="5">
        <v>0.83333333333333337</v>
      </c>
      <c r="AA8" s="5">
        <v>5.5555555555555552E-2</v>
      </c>
      <c r="AB8" s="5">
        <v>0.1111111111111111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L8" s="5">
        <v>4</v>
      </c>
      <c r="AM8" s="5">
        <v>0.29878048780487804</v>
      </c>
      <c r="AN8" s="5">
        <v>0.33766233766233766</v>
      </c>
      <c r="AO8" s="5">
        <v>0.36904761904761907</v>
      </c>
      <c r="AP8" s="5">
        <v>0.25</v>
      </c>
    </row>
    <row r="9" spans="2:42" x14ac:dyDescent="0.25"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s="5">
        <v>1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L9" s="5">
        <v>5</v>
      </c>
      <c r="AM9" s="5">
        <v>0.17682926829268292</v>
      </c>
      <c r="AN9" s="5">
        <v>0.38311688311688313</v>
      </c>
      <c r="AO9" s="5">
        <v>0.50595238095238093</v>
      </c>
      <c r="AP9" s="5">
        <v>0.66666666666666663</v>
      </c>
    </row>
    <row r="10" spans="2:42" x14ac:dyDescent="0.25"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</row>
    <row r="11" spans="2:42" x14ac:dyDescent="0.25">
      <c r="B11" s="5">
        <v>0</v>
      </c>
      <c r="C11" s="5">
        <v>1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N11" s="5">
        <v>1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</row>
    <row r="12" spans="2:42" x14ac:dyDescent="0.25"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 s="5">
        <v>1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</row>
    <row r="13" spans="2:42" x14ac:dyDescent="0.25">
      <c r="B13" s="5">
        <v>1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N13" s="5">
        <v>1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</row>
    <row r="14" spans="2:42" x14ac:dyDescent="0.25">
      <c r="Z14" s="5">
        <v>1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</row>
    <row r="15" spans="2:42" x14ac:dyDescent="0.25">
      <c r="B15" s="5" t="s">
        <v>1</v>
      </c>
      <c r="N15" s="5" t="s">
        <v>1</v>
      </c>
    </row>
    <row r="16" spans="2:42" x14ac:dyDescent="0.25"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 s="5" t="s">
        <v>159</v>
      </c>
    </row>
    <row r="17" spans="2:36" x14ac:dyDescent="0.25"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 s="5">
        <v>0.62068965517241381</v>
      </c>
      <c r="AA17" s="5">
        <v>0.27586206896551724</v>
      </c>
      <c r="AB17" s="5">
        <v>0.10344827586206896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</row>
    <row r="18" spans="2:36" x14ac:dyDescent="0.25"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 s="5">
        <v>0</v>
      </c>
      <c r="AA18" s="5">
        <v>0</v>
      </c>
      <c r="AB18" s="5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</row>
    <row r="19" spans="2:36" x14ac:dyDescent="0.25">
      <c r="B19" s="5">
        <v>0</v>
      </c>
      <c r="C19" s="5">
        <v>0</v>
      </c>
      <c r="D19" s="5">
        <v>0</v>
      </c>
      <c r="E19" s="5">
        <v>0</v>
      </c>
      <c r="F19" s="5">
        <v>1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N19" s="5">
        <v>0</v>
      </c>
      <c r="O19" s="5">
        <v>0</v>
      </c>
      <c r="P19" s="5">
        <v>1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 s="5">
        <v>0.5</v>
      </c>
      <c r="AA19" s="5">
        <v>0.375</v>
      </c>
      <c r="AB19" s="5">
        <v>0.125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</row>
    <row r="20" spans="2:36" x14ac:dyDescent="0.25">
      <c r="B20" s="5">
        <v>0</v>
      </c>
      <c r="C20" s="5">
        <v>0</v>
      </c>
      <c r="D20" s="5">
        <v>1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N20" s="5">
        <v>1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 s="5">
        <v>0.6</v>
      </c>
      <c r="AA20" s="5">
        <v>0.26666666666666666</v>
      </c>
      <c r="AB20" s="5">
        <v>0.13333333333333333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</row>
    <row r="21" spans="2:36" x14ac:dyDescent="0.25">
      <c r="B21" s="5">
        <v>0.66666666666666663</v>
      </c>
      <c r="C21" s="5">
        <v>0</v>
      </c>
      <c r="D21" s="5">
        <v>0.33333333333333331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N21" s="5">
        <v>0.66666666666666663</v>
      </c>
      <c r="O21" s="5">
        <v>0.33333333333333331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 s="5">
        <v>0.72222222222222221</v>
      </c>
      <c r="AA21" s="5">
        <v>0.27777777777777779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</row>
    <row r="22" spans="2:36" x14ac:dyDescent="0.25">
      <c r="B22" s="5">
        <v>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N22" s="5">
        <v>0</v>
      </c>
      <c r="O22" s="5">
        <v>1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 s="5">
        <v>0.8</v>
      </c>
      <c r="AA22" s="5">
        <v>0.2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</row>
    <row r="23" spans="2:36" x14ac:dyDescent="0.25">
      <c r="B23" s="5">
        <v>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N23" s="5">
        <v>0.66666666666666663</v>
      </c>
      <c r="O23" s="5">
        <v>0.33333333333333331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</row>
    <row r="24" spans="2:36" x14ac:dyDescent="0.25">
      <c r="B24" s="5">
        <v>0.29411764705882354</v>
      </c>
      <c r="C24" s="5">
        <v>0.41176470588235292</v>
      </c>
      <c r="D24" s="5">
        <v>0.23529411764705882</v>
      </c>
      <c r="E24" s="5">
        <v>5.8823529411764705E-2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N24" s="5">
        <v>0.52941176470588236</v>
      </c>
      <c r="O24" s="5">
        <v>0.23529411764705882</v>
      </c>
      <c r="P24" s="5">
        <v>0.11764705882352941</v>
      </c>
      <c r="Q24" s="5">
        <v>0.11764705882352941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</row>
    <row r="25" spans="2:36" x14ac:dyDescent="0.25">
      <c r="B25" s="5">
        <v>0.29411764705882354</v>
      </c>
      <c r="C25" s="5">
        <v>0.17647058823529413</v>
      </c>
      <c r="D25" s="5">
        <v>0.35294117647058826</v>
      </c>
      <c r="E25" s="5">
        <v>0.17647058823529413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N25" s="5">
        <v>0.29411764705882354</v>
      </c>
      <c r="O25" s="5">
        <v>0.58823529411764708</v>
      </c>
      <c r="P25" s="5">
        <v>5.8823529411764705E-2</v>
      </c>
      <c r="Q25" s="5">
        <v>5.8823529411764705E-2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 s="5">
        <v>1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</row>
    <row r="26" spans="2:36" x14ac:dyDescent="0.25">
      <c r="B26" s="5">
        <v>0.43333333333333335</v>
      </c>
      <c r="C26" s="5">
        <v>0.23333333333333334</v>
      </c>
      <c r="D26" s="5">
        <v>0.13333333333333333</v>
      </c>
      <c r="E26" s="5">
        <v>0.13333333333333333</v>
      </c>
      <c r="F26" s="5">
        <v>6.6666666666666666E-2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N26" s="5">
        <v>0.46666666666666667</v>
      </c>
      <c r="O26" s="5">
        <v>0.3</v>
      </c>
      <c r="P26" s="5">
        <v>0.13333333333333333</v>
      </c>
      <c r="Q26" s="5">
        <v>0</v>
      </c>
      <c r="R26" s="5">
        <v>3.3333333333333333E-2</v>
      </c>
      <c r="S26" s="5">
        <v>3.3333333333333333E-2</v>
      </c>
      <c r="T26" s="5">
        <v>3.3333333333333333E-2</v>
      </c>
      <c r="U26" s="5">
        <v>0</v>
      </c>
      <c r="V26" s="5">
        <v>0</v>
      </c>
      <c r="W26" s="5">
        <v>0</v>
      </c>
      <c r="X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</row>
    <row r="27" spans="2:36" x14ac:dyDescent="0.25">
      <c r="Z27" s="5">
        <v>1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</row>
    <row r="28" spans="2:36" x14ac:dyDescent="0.25">
      <c r="B28" s="5" t="s">
        <v>3</v>
      </c>
      <c r="N28" s="5" t="s">
        <v>3</v>
      </c>
    </row>
    <row r="29" spans="2:36" x14ac:dyDescent="0.25">
      <c r="B29" s="5">
        <v>7.1428571428571425E-2</v>
      </c>
      <c r="C29" s="5">
        <v>0.7142857142857143</v>
      </c>
      <c r="D29" s="5">
        <v>0.21428571428571427</v>
      </c>
      <c r="E29" s="5">
        <v>0</v>
      </c>
      <c r="N29" s="5">
        <v>0</v>
      </c>
      <c r="O29" s="5">
        <v>0.42857142857142855</v>
      </c>
      <c r="P29" s="5">
        <v>0.42857142857142855</v>
      </c>
      <c r="Q29" s="5">
        <v>0.14285714285714285</v>
      </c>
      <c r="Z29" s="5" t="s">
        <v>160</v>
      </c>
    </row>
    <row r="30" spans="2:36" x14ac:dyDescent="0.25">
      <c r="B30" s="5">
        <v>0</v>
      </c>
      <c r="C30" s="5">
        <v>0.54347826086956519</v>
      </c>
      <c r="D30" s="5">
        <v>0.39130434782608697</v>
      </c>
      <c r="E30" s="5">
        <v>6.5217391304347824E-2</v>
      </c>
      <c r="N30" s="5">
        <v>0</v>
      </c>
      <c r="O30" s="5">
        <v>0.28260869565217389</v>
      </c>
      <c r="P30" s="5">
        <v>0.2608695652173913</v>
      </c>
      <c r="Q30" s="5">
        <v>0.45652173913043476</v>
      </c>
      <c r="Z30" s="5">
        <v>0.44827586206896552</v>
      </c>
      <c r="AA30" s="5">
        <v>0.31034482758620691</v>
      </c>
      <c r="AB30" s="5">
        <v>0.2413793103448276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</row>
    <row r="31" spans="2:36" x14ac:dyDescent="0.25">
      <c r="B31" s="5">
        <v>0</v>
      </c>
      <c r="C31" s="5">
        <v>0.27777777777777779</v>
      </c>
      <c r="D31" s="5">
        <v>0.61111111111111116</v>
      </c>
      <c r="E31" s="5">
        <v>0.1111111111111111</v>
      </c>
      <c r="N31" s="5">
        <v>0</v>
      </c>
      <c r="O31" s="5">
        <v>0.22222222222222221</v>
      </c>
      <c r="P31" s="5">
        <v>0.3888888888888889</v>
      </c>
      <c r="Q31" s="5">
        <v>0.3888888888888889</v>
      </c>
      <c r="Z31" s="5">
        <v>0</v>
      </c>
      <c r="AA31" s="5">
        <v>1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</row>
    <row r="32" spans="2:36" x14ac:dyDescent="0.25">
      <c r="B32" s="5">
        <v>0</v>
      </c>
      <c r="C32" s="5">
        <v>0</v>
      </c>
      <c r="D32" s="5">
        <v>0</v>
      </c>
      <c r="E32" s="5">
        <v>0</v>
      </c>
      <c r="N32" s="5">
        <v>0</v>
      </c>
      <c r="O32" s="5">
        <v>0</v>
      </c>
      <c r="P32" s="5">
        <v>0</v>
      </c>
      <c r="Q32" s="5">
        <v>0</v>
      </c>
      <c r="Z32" s="5">
        <v>0.25</v>
      </c>
      <c r="AA32" s="5">
        <v>0.625</v>
      </c>
      <c r="AB32" s="5">
        <v>0.125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</row>
    <row r="33" spans="2:36" x14ac:dyDescent="0.25">
      <c r="Z33" s="5">
        <v>0.4</v>
      </c>
      <c r="AA33" s="5">
        <v>0.33333333333333331</v>
      </c>
      <c r="AB33" s="5">
        <v>0.13333333333333333</v>
      </c>
      <c r="AC33" s="5">
        <v>0.13333333333333333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</row>
    <row r="34" spans="2:36" x14ac:dyDescent="0.25">
      <c r="B34" s="5" t="s">
        <v>4</v>
      </c>
      <c r="N34" s="5" t="s">
        <v>4</v>
      </c>
      <c r="Z34" s="5">
        <v>0.44444444444444442</v>
      </c>
      <c r="AA34" s="5">
        <v>0.3888888888888889</v>
      </c>
      <c r="AB34" s="5">
        <v>0.1111111111111111</v>
      </c>
      <c r="AC34" s="5">
        <v>5.5555555555555552E-2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</row>
    <row r="35" spans="2:36" x14ac:dyDescent="0.25">
      <c r="B35" s="5">
        <v>0.1111111111111111</v>
      </c>
      <c r="C35" s="5">
        <v>0.22222222222222221</v>
      </c>
      <c r="D35" s="5">
        <v>0.66666666666666663</v>
      </c>
      <c r="E35" s="5">
        <v>0</v>
      </c>
      <c r="N35" s="5">
        <v>0</v>
      </c>
      <c r="O35" s="5">
        <v>0.22222222222222221</v>
      </c>
      <c r="P35" s="5">
        <v>0.55555555555555558</v>
      </c>
      <c r="Q35" s="5">
        <v>0.22222222222222221</v>
      </c>
      <c r="Z35" s="5">
        <v>0.8</v>
      </c>
      <c r="AA35" s="5">
        <v>0.2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</row>
    <row r="36" spans="2:36" x14ac:dyDescent="0.25">
      <c r="B36" s="5">
        <v>0</v>
      </c>
      <c r="C36" s="5">
        <v>0.56756756756756754</v>
      </c>
      <c r="D36" s="5">
        <v>0.3783783783783784</v>
      </c>
      <c r="E36" s="5">
        <v>5.4054054054054057E-2</v>
      </c>
      <c r="N36" s="5">
        <v>0</v>
      </c>
      <c r="O36" s="5">
        <v>0.27027027027027029</v>
      </c>
      <c r="P36" s="5">
        <v>0.24324324324324326</v>
      </c>
      <c r="Q36" s="5">
        <v>0.48648648648648651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</row>
    <row r="37" spans="2:36" x14ac:dyDescent="0.25">
      <c r="B37" s="5">
        <v>0</v>
      </c>
      <c r="C37" s="5">
        <v>0.23076923076923078</v>
      </c>
      <c r="D37" s="5">
        <v>0.57692307692307687</v>
      </c>
      <c r="E37" s="5">
        <v>0.19230769230769232</v>
      </c>
      <c r="N37" s="5">
        <v>0</v>
      </c>
      <c r="O37" s="5">
        <v>0.34615384615384615</v>
      </c>
      <c r="P37" s="5">
        <v>0.23076923076923078</v>
      </c>
      <c r="Q37" s="5">
        <v>0.42307692307692307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</row>
    <row r="38" spans="2:36" x14ac:dyDescent="0.25">
      <c r="B38" s="5">
        <v>0</v>
      </c>
      <c r="C38" s="5">
        <v>0</v>
      </c>
      <c r="D38" s="5">
        <v>0.66666666666666663</v>
      </c>
      <c r="E38" s="5">
        <v>0.33333333333333331</v>
      </c>
      <c r="N38" s="5">
        <v>0</v>
      </c>
      <c r="O38" s="5">
        <v>0.16666666666666666</v>
      </c>
      <c r="P38" s="5">
        <v>0.33333333333333331</v>
      </c>
      <c r="Q38" s="5">
        <v>0.5</v>
      </c>
      <c r="Z38" s="5">
        <v>1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</row>
    <row r="39" spans="2:36" x14ac:dyDescent="0.25"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</row>
    <row r="40" spans="2:36" x14ac:dyDescent="0.25">
      <c r="B40" s="5" t="s">
        <v>5</v>
      </c>
      <c r="N40" s="5" t="s">
        <v>5</v>
      </c>
      <c r="Z40" s="5">
        <v>1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</row>
    <row r="41" spans="2:36" x14ac:dyDescent="0.25">
      <c r="B41" s="5">
        <v>0.20833333333333334</v>
      </c>
      <c r="C41" s="5">
        <v>0.58333333333333337</v>
      </c>
      <c r="D41" s="5">
        <v>0.16666666666666666</v>
      </c>
      <c r="E41" s="5">
        <v>4.1666666666666664E-2</v>
      </c>
      <c r="N41" s="5">
        <v>0.125</v>
      </c>
      <c r="O41" s="5">
        <v>0.16666666666666666</v>
      </c>
      <c r="P41" s="5">
        <v>0.33333333333333331</v>
      </c>
      <c r="Q41" s="5">
        <v>0.375</v>
      </c>
    </row>
    <row r="42" spans="2:36" x14ac:dyDescent="0.25">
      <c r="B42" s="5">
        <v>4.1666666666666664E-2</v>
      </c>
      <c r="C42" s="5">
        <v>0.5625</v>
      </c>
      <c r="D42" s="5">
        <v>0.33333333333333331</v>
      </c>
      <c r="E42" s="5">
        <v>6.25E-2</v>
      </c>
      <c r="N42" s="5">
        <v>4.1666666666666664E-2</v>
      </c>
      <c r="O42" s="5">
        <v>0.125</v>
      </c>
      <c r="P42" s="5">
        <v>0.35416666666666669</v>
      </c>
      <c r="Q42" s="5">
        <v>0.47916666666666669</v>
      </c>
      <c r="Z42" s="5" t="s">
        <v>161</v>
      </c>
    </row>
    <row r="43" spans="2:36" x14ac:dyDescent="0.25">
      <c r="B43" s="5">
        <v>0</v>
      </c>
      <c r="C43" s="5">
        <v>0.2</v>
      </c>
      <c r="D43" s="5">
        <v>0.6</v>
      </c>
      <c r="E43" s="5">
        <v>0.2</v>
      </c>
      <c r="N43" s="5">
        <v>0</v>
      </c>
      <c r="O43" s="5">
        <v>0</v>
      </c>
      <c r="P43" s="5">
        <v>0.6</v>
      </c>
      <c r="Q43" s="5">
        <v>0.4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</row>
    <row r="44" spans="2:36" x14ac:dyDescent="0.25">
      <c r="B44" s="5">
        <v>0</v>
      </c>
      <c r="C44" s="5">
        <v>0</v>
      </c>
      <c r="D44" s="5">
        <v>0</v>
      </c>
      <c r="E44" s="5">
        <v>1</v>
      </c>
      <c r="N44" s="5">
        <v>0</v>
      </c>
      <c r="O44" s="5">
        <v>0</v>
      </c>
      <c r="P44" s="5">
        <v>1</v>
      </c>
      <c r="Q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</row>
    <row r="45" spans="2:36" x14ac:dyDescent="0.25"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</row>
    <row r="46" spans="2:36" x14ac:dyDescent="0.25">
      <c r="B46" s="5" t="s">
        <v>6</v>
      </c>
      <c r="N46" s="5" t="s">
        <v>6</v>
      </c>
      <c r="Z46" s="5">
        <v>0</v>
      </c>
      <c r="AA46" s="5">
        <v>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</row>
    <row r="47" spans="2:36" x14ac:dyDescent="0.25">
      <c r="B47" s="5">
        <v>1</v>
      </c>
      <c r="C47" s="5">
        <v>0</v>
      </c>
      <c r="D47" s="5">
        <v>0</v>
      </c>
      <c r="E47" s="5">
        <v>0</v>
      </c>
      <c r="F47" s="5">
        <v>0</v>
      </c>
      <c r="N47" s="5">
        <v>1</v>
      </c>
      <c r="O47" s="5">
        <v>0</v>
      </c>
      <c r="P47" s="5">
        <v>0</v>
      </c>
      <c r="Q47" s="5">
        <v>0</v>
      </c>
      <c r="R47" s="5">
        <v>0</v>
      </c>
      <c r="Z47" s="5">
        <v>1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</row>
    <row r="48" spans="2:36" x14ac:dyDescent="0.25">
      <c r="B48" s="5">
        <v>0.19047619047619047</v>
      </c>
      <c r="C48" s="5">
        <v>0.52380952380952384</v>
      </c>
      <c r="D48" s="5">
        <v>0.2857142857142857</v>
      </c>
      <c r="E48" s="5">
        <v>0</v>
      </c>
      <c r="F48" s="5">
        <v>0</v>
      </c>
      <c r="N48" s="5">
        <v>4.7619047619047616E-2</v>
      </c>
      <c r="O48" s="5">
        <v>0.5714285714285714</v>
      </c>
      <c r="P48" s="5">
        <v>0.38095238095238093</v>
      </c>
      <c r="Q48" s="5">
        <v>0</v>
      </c>
      <c r="R48" s="5">
        <v>0</v>
      </c>
      <c r="Z48" s="5">
        <v>0.66666666666666663</v>
      </c>
      <c r="AA48" s="5">
        <v>0.33333333333333331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</row>
    <row r="49" spans="2:36" x14ac:dyDescent="0.25">
      <c r="B49" s="5">
        <v>8.8235294117647065E-2</v>
      </c>
      <c r="C49" s="5">
        <v>0.67647058823529416</v>
      </c>
      <c r="D49" s="5">
        <v>0.20588235294117646</v>
      </c>
      <c r="E49" s="5">
        <v>0</v>
      </c>
      <c r="F49" s="5">
        <v>2.9411764705882353E-2</v>
      </c>
      <c r="N49" s="5">
        <v>0.17647058823529413</v>
      </c>
      <c r="O49" s="5">
        <v>0.61764705882352944</v>
      </c>
      <c r="P49" s="5">
        <v>0.20588235294117646</v>
      </c>
      <c r="Q49" s="5">
        <v>0</v>
      </c>
      <c r="R49" s="5">
        <v>0</v>
      </c>
      <c r="Z49" s="5">
        <v>0</v>
      </c>
      <c r="AA49" s="5">
        <v>1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</row>
    <row r="50" spans="2:36" x14ac:dyDescent="0.25">
      <c r="B50" s="5">
        <v>0.125</v>
      </c>
      <c r="C50" s="5">
        <v>0.75</v>
      </c>
      <c r="D50" s="5">
        <v>6.25E-2</v>
      </c>
      <c r="E50" s="5">
        <v>0</v>
      </c>
      <c r="F50" s="5">
        <v>6.25E-2</v>
      </c>
      <c r="N50" s="5">
        <v>0</v>
      </c>
      <c r="O50" s="5">
        <v>0.6875</v>
      </c>
      <c r="P50" s="5">
        <v>0.3125</v>
      </c>
      <c r="Q50" s="5">
        <v>0</v>
      </c>
      <c r="R50" s="5">
        <v>0</v>
      </c>
      <c r="Z50" s="5">
        <v>0.33333333333333331</v>
      </c>
      <c r="AA50" s="5">
        <v>0.33333333333333331</v>
      </c>
      <c r="AB50" s="5">
        <v>0.33333333333333331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</row>
    <row r="51" spans="2:36" x14ac:dyDescent="0.25">
      <c r="B51" s="5">
        <v>0</v>
      </c>
      <c r="C51" s="5">
        <v>0.66666666666666663</v>
      </c>
      <c r="D51" s="5">
        <v>0.16666666666666666</v>
      </c>
      <c r="E51" s="5">
        <v>0</v>
      </c>
      <c r="F51" s="5">
        <v>0.16666666666666666</v>
      </c>
      <c r="N51" s="5">
        <v>0.33333333333333331</v>
      </c>
      <c r="O51" s="5">
        <v>0.16666666666666666</v>
      </c>
      <c r="P51" s="5">
        <v>0.5</v>
      </c>
      <c r="Q51" s="5">
        <v>0</v>
      </c>
      <c r="R51" s="5">
        <v>0</v>
      </c>
      <c r="Z51" s="5">
        <v>0.41176470588235292</v>
      </c>
      <c r="AA51" s="5">
        <v>0.41176470588235292</v>
      </c>
      <c r="AB51" s="5">
        <v>0.17647058823529413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</row>
    <row r="52" spans="2:36" x14ac:dyDescent="0.25">
      <c r="Z52" s="5">
        <v>0.35294117647058826</v>
      </c>
      <c r="AA52" s="5">
        <v>0.47058823529411764</v>
      </c>
      <c r="AB52" s="5">
        <v>0.11764705882352941</v>
      </c>
      <c r="AC52" s="5">
        <v>5.8823529411764705E-2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</row>
    <row r="53" spans="2:36" x14ac:dyDescent="0.25">
      <c r="B53" s="5" t="s">
        <v>16</v>
      </c>
      <c r="N53" s="5" t="s">
        <v>16</v>
      </c>
      <c r="Z53" s="5">
        <v>0.4</v>
      </c>
      <c r="AA53" s="5">
        <v>0.46666666666666667</v>
      </c>
      <c r="AB53" s="5">
        <v>0</v>
      </c>
      <c r="AC53" s="5">
        <v>3.3333333333333333E-2</v>
      </c>
      <c r="AD53" s="5">
        <v>3.3333333333333333E-2</v>
      </c>
      <c r="AE53" s="5">
        <v>3.3333333333333333E-2</v>
      </c>
      <c r="AF53" s="5">
        <v>0</v>
      </c>
      <c r="AG53" s="5">
        <v>0</v>
      </c>
      <c r="AH53" s="5">
        <v>3.3333333333333333E-2</v>
      </c>
      <c r="AI53" s="5">
        <v>0</v>
      </c>
      <c r="AJ53" s="5">
        <v>0</v>
      </c>
    </row>
    <row r="54" spans="2:36" x14ac:dyDescent="0.25">
      <c r="B54" s="5">
        <v>0.81132075471698117</v>
      </c>
      <c r="C54" s="5">
        <v>1.8867924528301886E-2</v>
      </c>
      <c r="D54" s="5">
        <v>0.16981132075471697</v>
      </c>
      <c r="N54" s="5">
        <v>0.84905660377358494</v>
      </c>
      <c r="O54" s="5">
        <v>0.11320754716981132</v>
      </c>
      <c r="P54" s="5">
        <v>3.7735849056603772E-2</v>
      </c>
    </row>
    <row r="55" spans="2:36" x14ac:dyDescent="0.25">
      <c r="B55" s="5">
        <v>0.625</v>
      </c>
      <c r="C55" s="5">
        <v>6.25E-2</v>
      </c>
      <c r="D55" s="5">
        <v>0.3125</v>
      </c>
      <c r="N55" s="5">
        <v>0.75</v>
      </c>
      <c r="O55" s="5">
        <v>0.1875</v>
      </c>
      <c r="P55" s="5">
        <v>6.25E-2</v>
      </c>
      <c r="Z55" s="5" t="s">
        <v>163</v>
      </c>
    </row>
    <row r="56" spans="2:36" x14ac:dyDescent="0.25">
      <c r="B56" s="5">
        <v>0.33333333333333331</v>
      </c>
      <c r="C56" s="5">
        <v>0.33333333333333331</v>
      </c>
      <c r="D56" s="5">
        <v>0.33333333333333331</v>
      </c>
      <c r="N56" s="5">
        <v>0.55555555555555558</v>
      </c>
      <c r="O56" s="5">
        <v>0.33333333333333331</v>
      </c>
      <c r="P56" s="5">
        <v>0.1111111111111111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</row>
    <row r="57" spans="2:36" x14ac:dyDescent="0.25"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</row>
    <row r="58" spans="2:36" x14ac:dyDescent="0.25">
      <c r="B58" s="5" t="s">
        <v>17</v>
      </c>
      <c r="N58" s="5" t="s">
        <v>17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</row>
    <row r="59" spans="2:36" x14ac:dyDescent="0.25">
      <c r="B59" s="5">
        <v>0.67441860465116277</v>
      </c>
      <c r="C59" s="5">
        <v>0.23255813953488372</v>
      </c>
      <c r="D59" s="5">
        <v>9.3023255813953487E-2</v>
      </c>
      <c r="N59" s="5">
        <v>0.81395348837209303</v>
      </c>
      <c r="O59" s="5">
        <v>0.16279069767441862</v>
      </c>
      <c r="P59" s="5">
        <v>2.3255813953488372E-2</v>
      </c>
      <c r="Z59" s="5">
        <v>1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</row>
    <row r="60" spans="2:36" x14ac:dyDescent="0.25">
      <c r="B60" s="5">
        <v>0.56521739130434778</v>
      </c>
      <c r="C60" s="5">
        <v>0.13043478260869565</v>
      </c>
      <c r="D60" s="5">
        <v>0.30434782608695654</v>
      </c>
      <c r="N60" s="5">
        <v>0.69565217391304346</v>
      </c>
      <c r="O60" s="5">
        <v>0.17391304347826086</v>
      </c>
      <c r="P60" s="5">
        <v>0.13043478260869565</v>
      </c>
      <c r="Z60" s="5">
        <v>1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</row>
    <row r="61" spans="2:36" x14ac:dyDescent="0.25">
      <c r="B61" s="5">
        <v>0.33333333333333331</v>
      </c>
      <c r="C61" s="5">
        <v>0.33333333333333331</v>
      </c>
      <c r="D61" s="5">
        <v>0.33333333333333331</v>
      </c>
      <c r="N61" s="5">
        <v>0.58333333333333337</v>
      </c>
      <c r="O61" s="5">
        <v>0.41666666666666669</v>
      </c>
      <c r="P61" s="5">
        <v>0</v>
      </c>
      <c r="Z61" s="5">
        <v>0.66666666666666663</v>
      </c>
      <c r="AA61" s="5">
        <v>0.33333333333333331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</row>
    <row r="62" spans="2:36" x14ac:dyDescent="0.25">
      <c r="Z62" s="5">
        <v>0</v>
      </c>
      <c r="AA62" s="5">
        <v>1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</row>
    <row r="63" spans="2:36" x14ac:dyDescent="0.25">
      <c r="B63" s="5" t="s">
        <v>7</v>
      </c>
      <c r="N63" s="5" t="s">
        <v>7</v>
      </c>
      <c r="Z63" s="5">
        <v>0.33333333333333331</v>
      </c>
      <c r="AA63" s="5">
        <v>0.33333333333333331</v>
      </c>
      <c r="AB63" s="5">
        <v>0.33333333333333331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</row>
    <row r="64" spans="2:36" x14ac:dyDescent="0.25">
      <c r="B64" s="5">
        <v>0.36842105263157893</v>
      </c>
      <c r="C64" s="5">
        <v>0.42105263157894735</v>
      </c>
      <c r="D64" s="5">
        <v>0.21052631578947367</v>
      </c>
      <c r="N64" s="5">
        <v>0.42105263157894735</v>
      </c>
      <c r="O64" s="5">
        <v>0.47368421052631576</v>
      </c>
      <c r="P64" s="5">
        <v>0.10526315789473684</v>
      </c>
      <c r="Z64" s="5">
        <v>0.47058823529411764</v>
      </c>
      <c r="AA64" s="5">
        <v>0.41176470588235292</v>
      </c>
      <c r="AB64" s="5">
        <v>0.11764705882352941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</row>
    <row r="65" spans="2:36" x14ac:dyDescent="0.25">
      <c r="B65" s="5">
        <v>0.32</v>
      </c>
      <c r="C65" s="5">
        <v>0.4</v>
      </c>
      <c r="D65" s="5">
        <v>0.28000000000000003</v>
      </c>
      <c r="N65" s="5">
        <v>0.36</v>
      </c>
      <c r="O65" s="5">
        <v>0.52</v>
      </c>
      <c r="P65" s="5">
        <v>0.12</v>
      </c>
      <c r="Z65" s="5">
        <v>0.35294117647058826</v>
      </c>
      <c r="AA65" s="5">
        <v>0.52941176470588236</v>
      </c>
      <c r="AB65" s="5">
        <v>5.8823529411764705E-2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5.8823529411764705E-2</v>
      </c>
      <c r="AI65" s="5">
        <v>0</v>
      </c>
      <c r="AJ65" s="5">
        <v>0</v>
      </c>
    </row>
    <row r="66" spans="2:36" x14ac:dyDescent="0.25">
      <c r="B66" s="5">
        <v>0.38235294117647056</v>
      </c>
      <c r="C66" s="5">
        <v>0.23529411764705882</v>
      </c>
      <c r="D66" s="5">
        <v>0.38235294117647056</v>
      </c>
      <c r="N66" s="5">
        <v>0.3235294117647059</v>
      </c>
      <c r="O66" s="5">
        <v>0.58823529411764708</v>
      </c>
      <c r="P66" s="5">
        <v>8.8235294117647065E-2</v>
      </c>
      <c r="Z66" s="5">
        <v>0.4</v>
      </c>
      <c r="AA66" s="5">
        <v>0.36666666666666664</v>
      </c>
      <c r="AB66" s="5">
        <v>0.13333333333333333</v>
      </c>
      <c r="AC66" s="5">
        <v>3.3333333333333333E-2</v>
      </c>
      <c r="AD66" s="5">
        <v>0</v>
      </c>
      <c r="AE66" s="5">
        <v>0</v>
      </c>
      <c r="AF66" s="5">
        <v>3.3333333333333333E-2</v>
      </c>
      <c r="AG66" s="5">
        <v>0</v>
      </c>
      <c r="AH66" s="5">
        <v>3.3333333333333333E-2</v>
      </c>
      <c r="AI66" s="5">
        <v>0</v>
      </c>
      <c r="AJ66" s="5">
        <v>0</v>
      </c>
    </row>
    <row r="68" spans="2:36" x14ac:dyDescent="0.25">
      <c r="B68" s="5" t="s">
        <v>8</v>
      </c>
      <c r="N68" s="5" t="s">
        <v>8</v>
      </c>
      <c r="Z68" s="5" t="s">
        <v>162</v>
      </c>
    </row>
    <row r="69" spans="2:36" x14ac:dyDescent="0.25">
      <c r="B69" s="5">
        <v>0.16666666666666666</v>
      </c>
      <c r="C69" s="5">
        <v>0.33333333333333331</v>
      </c>
      <c r="D69" s="5">
        <v>0.5</v>
      </c>
      <c r="N69" s="5">
        <v>0.16666666666666666</v>
      </c>
      <c r="O69" s="5">
        <v>0.66666666666666663</v>
      </c>
      <c r="P69" s="5">
        <v>0.16666666666666666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</row>
    <row r="70" spans="2:36" x14ac:dyDescent="0.25">
      <c r="B70" s="5">
        <v>0</v>
      </c>
      <c r="C70" s="5">
        <v>0.33333333333333331</v>
      </c>
      <c r="D70" s="5">
        <v>0.66666666666666663</v>
      </c>
      <c r="N70" s="5">
        <v>0.33333333333333331</v>
      </c>
      <c r="O70" s="5">
        <v>0.44444444444444442</v>
      </c>
      <c r="P70" s="5">
        <v>0.22222222222222221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</row>
    <row r="71" spans="2:36" x14ac:dyDescent="0.25">
      <c r="B71" s="5">
        <v>9.5238095238095233E-2</v>
      </c>
      <c r="C71" s="5">
        <v>0.23809523809523808</v>
      </c>
      <c r="D71" s="5">
        <v>0.66666666666666663</v>
      </c>
      <c r="N71" s="5">
        <v>0.2857142857142857</v>
      </c>
      <c r="O71" s="5">
        <v>0.47619047619047616</v>
      </c>
      <c r="P71" s="5">
        <v>0.23809523809523808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</row>
    <row r="72" spans="2:36" x14ac:dyDescent="0.25">
      <c r="Z72" s="5">
        <v>1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</row>
    <row r="73" spans="2:36" x14ac:dyDescent="0.25">
      <c r="B73" s="5" t="s">
        <v>10</v>
      </c>
      <c r="N73" s="5" t="s">
        <v>10</v>
      </c>
      <c r="Z73" s="5">
        <v>1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</row>
    <row r="74" spans="2:36" x14ac:dyDescent="0.25">
      <c r="B74" s="5">
        <v>0.8392857142857143</v>
      </c>
      <c r="C74" s="5">
        <v>0</v>
      </c>
      <c r="D74" s="5">
        <v>0.10714285714285714</v>
      </c>
      <c r="E74" s="5">
        <v>5.3571428571428568E-2</v>
      </c>
      <c r="N74" s="5">
        <v>0.8392857142857143</v>
      </c>
      <c r="O74" s="5">
        <v>0.125</v>
      </c>
      <c r="P74" s="5">
        <v>3.5714285714285712E-2</v>
      </c>
      <c r="Q74" s="5">
        <v>0</v>
      </c>
      <c r="Z74" s="5">
        <v>0</v>
      </c>
      <c r="AA74" s="5">
        <v>0.66666666666666663</v>
      </c>
      <c r="AB74" s="5">
        <v>0.33333333333333331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</row>
    <row r="75" spans="2:36" x14ac:dyDescent="0.25">
      <c r="B75" s="5">
        <v>0.63636363636363635</v>
      </c>
      <c r="C75" s="5">
        <v>9.0909090909090912E-2</v>
      </c>
      <c r="D75" s="5">
        <v>0.18181818181818182</v>
      </c>
      <c r="E75" s="5">
        <v>9.0909090909090912E-2</v>
      </c>
      <c r="N75" s="5">
        <v>0.54545454545454541</v>
      </c>
      <c r="O75" s="5">
        <v>0.18181818181818182</v>
      </c>
      <c r="P75" s="5">
        <v>0.27272727272727271</v>
      </c>
      <c r="Q75" s="5">
        <v>0</v>
      </c>
      <c r="Z75" s="5">
        <v>0</v>
      </c>
      <c r="AA75" s="5">
        <v>1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</row>
    <row r="76" spans="2:36" x14ac:dyDescent="0.25">
      <c r="B76" s="5">
        <v>0.44444444444444442</v>
      </c>
      <c r="C76" s="5">
        <v>0.22222222222222221</v>
      </c>
      <c r="D76" s="5">
        <v>0.1111111111111111</v>
      </c>
      <c r="E76" s="5">
        <v>0.22222222222222221</v>
      </c>
      <c r="N76" s="5">
        <v>0.55555555555555558</v>
      </c>
      <c r="O76" s="5">
        <v>0.33333333333333331</v>
      </c>
      <c r="P76" s="5">
        <v>0</v>
      </c>
      <c r="Q76" s="5">
        <v>0.1111111111111111</v>
      </c>
      <c r="Z76" s="5">
        <v>0.33333333333333331</v>
      </c>
      <c r="AA76" s="5">
        <v>0.66666666666666663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</row>
    <row r="77" spans="2:36" x14ac:dyDescent="0.25">
      <c r="B77" s="5">
        <v>0.5</v>
      </c>
      <c r="C77" s="5">
        <v>0</v>
      </c>
      <c r="D77" s="5">
        <v>0.5</v>
      </c>
      <c r="E77" s="5">
        <v>0</v>
      </c>
      <c r="N77" s="5">
        <v>1</v>
      </c>
      <c r="O77" s="5">
        <v>0</v>
      </c>
      <c r="P77" s="5">
        <v>0</v>
      </c>
      <c r="Q77" s="5">
        <v>0</v>
      </c>
      <c r="Z77" s="5">
        <v>0.47058823529411764</v>
      </c>
      <c r="AA77" s="5">
        <v>0.29411764705882354</v>
      </c>
      <c r="AB77" s="5">
        <v>0.23529411764705882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</row>
    <row r="78" spans="2:36" x14ac:dyDescent="0.25">
      <c r="Z78" s="5">
        <v>0.29411764705882354</v>
      </c>
      <c r="AA78" s="5">
        <v>0.6470588235294118</v>
      </c>
      <c r="AB78" s="5">
        <v>0</v>
      </c>
      <c r="AC78" s="5">
        <v>5.8823529411764705E-2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</row>
    <row r="79" spans="2:36" x14ac:dyDescent="0.25">
      <c r="Z79" s="5">
        <v>0.4</v>
      </c>
      <c r="AA79" s="5">
        <v>0.43333333333333335</v>
      </c>
      <c r="AB79" s="5">
        <v>0.1</v>
      </c>
      <c r="AC79" s="5">
        <v>6.6666666666666666E-2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</row>
  </sheetData>
  <mergeCells count="2">
    <mergeCell ref="B1:K1"/>
    <mergeCell ref="N1:W1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B1:AP79"/>
  <sheetViews>
    <sheetView showGridLines="0" workbookViewId="0">
      <selection activeCell="B2" sqref="B1:AP1048576"/>
    </sheetView>
  </sheetViews>
  <sheetFormatPr defaultRowHeight="15" x14ac:dyDescent="0.25"/>
  <cols>
    <col min="1" max="1" width="2.42578125" customWidth="1"/>
    <col min="2" max="36" width="4.28515625" style="5" customWidth="1"/>
    <col min="37" max="42" width="4.28515625" customWidth="1"/>
  </cols>
  <sheetData>
    <row r="1" spans="2:42" x14ac:dyDescent="0.25">
      <c r="B1" s="203" t="s">
        <v>59</v>
      </c>
      <c r="C1" s="203"/>
      <c r="D1" s="203"/>
      <c r="E1" s="203"/>
      <c r="F1" s="203"/>
      <c r="G1" s="203"/>
      <c r="H1" s="203"/>
      <c r="I1" s="203"/>
      <c r="J1" s="203"/>
      <c r="K1" s="203"/>
      <c r="N1" s="203" t="s">
        <v>60</v>
      </c>
      <c r="O1" s="203"/>
      <c r="P1" s="203"/>
      <c r="Q1" s="203"/>
      <c r="R1" s="203"/>
      <c r="S1" s="203"/>
      <c r="T1" s="203"/>
      <c r="U1" s="203"/>
      <c r="V1" s="203"/>
      <c r="W1" s="203"/>
    </row>
    <row r="2" spans="2:42" x14ac:dyDescent="0.25">
      <c r="B2" s="5" t="s">
        <v>0</v>
      </c>
      <c r="N2" s="5" t="s">
        <v>0</v>
      </c>
    </row>
    <row r="3" spans="2:42" x14ac:dyDescent="0.25">
      <c r="B3" s="5">
        <v>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N3" s="5">
        <v>0.75862068965517238</v>
      </c>
      <c r="O3" s="5">
        <v>0.20689655172413793</v>
      </c>
      <c r="P3" s="5">
        <v>3.4482758620689655E-2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Z3" s="5" t="s">
        <v>158</v>
      </c>
    </row>
    <row r="4" spans="2:42" x14ac:dyDescent="0.25">
      <c r="B4" s="5">
        <v>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N4" s="5">
        <v>1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Z4" s="5">
        <v>0.89655172413793105</v>
      </c>
      <c r="AA4" s="5">
        <v>6.8965517241379309E-2</v>
      </c>
      <c r="AB4" s="5">
        <v>3.4482758620689655E-2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L4" s="5"/>
      <c r="AM4" s="5" t="s">
        <v>164</v>
      </c>
      <c r="AN4" s="5" t="s">
        <v>165</v>
      </c>
      <c r="AO4" s="5" t="s">
        <v>166</v>
      </c>
      <c r="AP4" s="5" t="s">
        <v>167</v>
      </c>
    </row>
    <row r="5" spans="2:42" x14ac:dyDescent="0.25">
      <c r="B5" s="5">
        <v>0.75</v>
      </c>
      <c r="C5" s="5">
        <v>0.125</v>
      </c>
      <c r="D5" s="5">
        <v>0.125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N5" s="5">
        <v>0.625</v>
      </c>
      <c r="O5" s="5">
        <v>0.25</v>
      </c>
      <c r="P5" s="5">
        <v>0.125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Z5" s="5">
        <v>0</v>
      </c>
      <c r="AA5" s="5">
        <v>1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L5" s="5">
        <v>1</v>
      </c>
      <c r="AM5" s="5">
        <v>3.048780487804878E-2</v>
      </c>
      <c r="AN5" s="5">
        <v>6.4935064935064939E-3</v>
      </c>
      <c r="AO5" s="5">
        <v>5.9523809523809521E-3</v>
      </c>
      <c r="AP5" s="5">
        <v>6.41025641025641E-3</v>
      </c>
    </row>
    <row r="6" spans="2:42" x14ac:dyDescent="0.25">
      <c r="B6" s="5">
        <v>0.4</v>
      </c>
      <c r="C6" s="5">
        <v>0.33333333333333331</v>
      </c>
      <c r="D6" s="5">
        <v>0.2</v>
      </c>
      <c r="E6" s="5">
        <v>6.6666666666666666E-2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N6" s="5">
        <v>0.53333333333333333</v>
      </c>
      <c r="O6" s="5">
        <v>0.26666666666666666</v>
      </c>
      <c r="P6" s="5">
        <v>0.2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Z6" s="5">
        <v>0.875</v>
      </c>
      <c r="AA6" s="5">
        <v>0</v>
      </c>
      <c r="AB6" s="5">
        <v>0.125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L6" s="5">
        <v>2</v>
      </c>
      <c r="AM6" s="5">
        <v>0.43902439024390244</v>
      </c>
      <c r="AN6" s="5">
        <v>0.20779220779220781</v>
      </c>
      <c r="AO6" s="5">
        <v>0</v>
      </c>
      <c r="AP6" s="5">
        <v>0</v>
      </c>
    </row>
    <row r="7" spans="2:42" x14ac:dyDescent="0.25">
      <c r="B7" s="5">
        <v>0.3888888888888889</v>
      </c>
      <c r="C7" s="5">
        <v>0.44444444444444442</v>
      </c>
      <c r="D7" s="5">
        <v>0.16666666666666666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N7" s="5">
        <v>0.55555555555555558</v>
      </c>
      <c r="O7" s="5">
        <v>0.22222222222222221</v>
      </c>
      <c r="P7" s="5">
        <v>0.22222222222222221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Z7" s="5">
        <v>0.66666666666666663</v>
      </c>
      <c r="AA7" s="5">
        <v>0.2</v>
      </c>
      <c r="AB7" s="5">
        <v>0.13333333333333333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L7" s="5">
        <v>3</v>
      </c>
      <c r="AM7" s="5">
        <v>5.4878048780487805E-2</v>
      </c>
      <c r="AN7" s="5">
        <v>6.4935064935064929E-2</v>
      </c>
      <c r="AO7" s="5">
        <v>0.11904761904761904</v>
      </c>
      <c r="AP7" s="5">
        <v>7.6923076923076927E-2</v>
      </c>
    </row>
    <row r="8" spans="2:42" x14ac:dyDescent="0.25">
      <c r="B8" s="5">
        <v>0</v>
      </c>
      <c r="C8" s="5">
        <v>0.6</v>
      </c>
      <c r="D8" s="5">
        <v>0.4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N8" s="5">
        <v>0.6</v>
      </c>
      <c r="O8" s="5">
        <v>0.4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Z8" s="5">
        <v>0.83333333333333337</v>
      </c>
      <c r="AA8" s="5">
        <v>5.5555555555555552E-2</v>
      </c>
      <c r="AB8" s="5">
        <v>0.1111111111111111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L8" s="5">
        <v>4</v>
      </c>
      <c r="AM8" s="5">
        <v>0.29878048780487804</v>
      </c>
      <c r="AN8" s="5">
        <v>0.33766233766233766</v>
      </c>
      <c r="AO8" s="5">
        <v>0.36904761904761907</v>
      </c>
      <c r="AP8" s="5">
        <v>0.25</v>
      </c>
    </row>
    <row r="9" spans="2:42" x14ac:dyDescent="0.25"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s="5">
        <v>1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L9" s="5">
        <v>5</v>
      </c>
      <c r="AM9" s="5">
        <v>0.17682926829268292</v>
      </c>
      <c r="AN9" s="5">
        <v>0.38311688311688313</v>
      </c>
      <c r="AO9" s="5">
        <v>0.50595238095238093</v>
      </c>
      <c r="AP9" s="5">
        <v>0.66666666666666663</v>
      </c>
    </row>
    <row r="10" spans="2:42" x14ac:dyDescent="0.25"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</row>
    <row r="11" spans="2:42" x14ac:dyDescent="0.25">
      <c r="B11" s="5">
        <v>0</v>
      </c>
      <c r="C11" s="5">
        <v>1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N11" s="5">
        <v>1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</row>
    <row r="12" spans="2:42" x14ac:dyDescent="0.25"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 s="5">
        <v>1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</row>
    <row r="13" spans="2:42" x14ac:dyDescent="0.25">
      <c r="B13" s="5">
        <v>1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N13" s="5">
        <v>1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</row>
    <row r="14" spans="2:42" x14ac:dyDescent="0.25">
      <c r="Z14" s="5">
        <v>1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</row>
    <row r="15" spans="2:42" x14ac:dyDescent="0.25">
      <c r="B15" s="5" t="s">
        <v>1</v>
      </c>
      <c r="N15" s="5" t="s">
        <v>1</v>
      </c>
    </row>
    <row r="16" spans="2:42" x14ac:dyDescent="0.25"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 s="5" t="s">
        <v>159</v>
      </c>
    </row>
    <row r="17" spans="2:36" x14ac:dyDescent="0.25"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 s="5">
        <v>0.62068965517241381</v>
      </c>
      <c r="AA17" s="5">
        <v>0.27586206896551724</v>
      </c>
      <c r="AB17" s="5">
        <v>0.10344827586206896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</row>
    <row r="18" spans="2:36" x14ac:dyDescent="0.25"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 s="5">
        <v>0</v>
      </c>
      <c r="AA18" s="5">
        <v>0</v>
      </c>
      <c r="AB18" s="5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</row>
    <row r="19" spans="2:36" x14ac:dyDescent="0.25">
      <c r="B19" s="5">
        <v>0</v>
      </c>
      <c r="C19" s="5">
        <v>0</v>
      </c>
      <c r="D19" s="5">
        <v>0</v>
      </c>
      <c r="E19" s="5">
        <v>0</v>
      </c>
      <c r="F19" s="5">
        <v>1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N19" s="5">
        <v>0</v>
      </c>
      <c r="O19" s="5">
        <v>0</v>
      </c>
      <c r="P19" s="5">
        <v>1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 s="5">
        <v>0.5</v>
      </c>
      <c r="AA19" s="5">
        <v>0.375</v>
      </c>
      <c r="AB19" s="5">
        <v>0.125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</row>
    <row r="20" spans="2:36" x14ac:dyDescent="0.25">
      <c r="B20" s="5">
        <v>0</v>
      </c>
      <c r="C20" s="5">
        <v>0</v>
      </c>
      <c r="D20" s="5">
        <v>1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N20" s="5">
        <v>1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 s="5">
        <v>0.6</v>
      </c>
      <c r="AA20" s="5">
        <v>0.26666666666666666</v>
      </c>
      <c r="AB20" s="5">
        <v>0.13333333333333333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</row>
    <row r="21" spans="2:36" x14ac:dyDescent="0.25">
      <c r="B21" s="5">
        <v>0.66666666666666663</v>
      </c>
      <c r="C21" s="5">
        <v>0</v>
      </c>
      <c r="D21" s="5">
        <v>0.33333333333333331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N21" s="5">
        <v>0.66666666666666663</v>
      </c>
      <c r="O21" s="5">
        <v>0.33333333333333331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 s="5">
        <v>0.72222222222222221</v>
      </c>
      <c r="AA21" s="5">
        <v>0.27777777777777779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</row>
    <row r="22" spans="2:36" x14ac:dyDescent="0.25">
      <c r="B22" s="5">
        <v>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N22" s="5">
        <v>0</v>
      </c>
      <c r="O22" s="5">
        <v>1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 s="5">
        <v>0.8</v>
      </c>
      <c r="AA22" s="5">
        <v>0.2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</row>
    <row r="23" spans="2:36" x14ac:dyDescent="0.25">
      <c r="B23" s="5">
        <v>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N23" s="5">
        <v>0.66666666666666663</v>
      </c>
      <c r="O23" s="5">
        <v>0.33333333333333331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</row>
    <row r="24" spans="2:36" x14ac:dyDescent="0.25">
      <c r="B24" s="5">
        <v>0.29411764705882354</v>
      </c>
      <c r="C24" s="5">
        <v>0.41176470588235292</v>
      </c>
      <c r="D24" s="5">
        <v>0.23529411764705882</v>
      </c>
      <c r="E24" s="5">
        <v>5.8823529411764705E-2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N24" s="5">
        <v>0.52941176470588236</v>
      </c>
      <c r="O24" s="5">
        <v>0.23529411764705882</v>
      </c>
      <c r="P24" s="5">
        <v>0.11764705882352941</v>
      </c>
      <c r="Q24" s="5">
        <v>0.11764705882352941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</row>
    <row r="25" spans="2:36" x14ac:dyDescent="0.25">
      <c r="B25" s="5">
        <v>0.29411764705882354</v>
      </c>
      <c r="C25" s="5">
        <v>0.17647058823529413</v>
      </c>
      <c r="D25" s="5">
        <v>0.35294117647058826</v>
      </c>
      <c r="E25" s="5">
        <v>0.17647058823529413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N25" s="5">
        <v>0.29411764705882354</v>
      </c>
      <c r="O25" s="5">
        <v>0.58823529411764708</v>
      </c>
      <c r="P25" s="5">
        <v>5.8823529411764705E-2</v>
      </c>
      <c r="Q25" s="5">
        <v>5.8823529411764705E-2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 s="5">
        <v>1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</row>
    <row r="26" spans="2:36" x14ac:dyDescent="0.25">
      <c r="B26" s="5">
        <v>0.43333333333333335</v>
      </c>
      <c r="C26" s="5">
        <v>0.23333333333333334</v>
      </c>
      <c r="D26" s="5">
        <v>0.13333333333333333</v>
      </c>
      <c r="E26" s="5">
        <v>0.13333333333333333</v>
      </c>
      <c r="F26" s="5">
        <v>6.6666666666666666E-2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N26" s="5">
        <v>0.46666666666666667</v>
      </c>
      <c r="O26" s="5">
        <v>0.3</v>
      </c>
      <c r="P26" s="5">
        <v>0.13333333333333333</v>
      </c>
      <c r="Q26" s="5">
        <v>0</v>
      </c>
      <c r="R26" s="5">
        <v>3.3333333333333333E-2</v>
      </c>
      <c r="S26" s="5">
        <v>3.3333333333333333E-2</v>
      </c>
      <c r="T26" s="5">
        <v>3.3333333333333333E-2</v>
      </c>
      <c r="U26" s="5">
        <v>0</v>
      </c>
      <c r="V26" s="5">
        <v>0</v>
      </c>
      <c r="W26" s="5">
        <v>0</v>
      </c>
      <c r="X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</row>
    <row r="27" spans="2:36" x14ac:dyDescent="0.25">
      <c r="Z27" s="5">
        <v>1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</row>
    <row r="28" spans="2:36" x14ac:dyDescent="0.25">
      <c r="B28" s="5" t="s">
        <v>3</v>
      </c>
      <c r="N28" s="5" t="s">
        <v>3</v>
      </c>
    </row>
    <row r="29" spans="2:36" x14ac:dyDescent="0.25">
      <c r="B29" s="5">
        <v>7.1428571428571425E-2</v>
      </c>
      <c r="C29" s="5">
        <v>0.7142857142857143</v>
      </c>
      <c r="D29" s="5">
        <v>0.21428571428571427</v>
      </c>
      <c r="E29" s="5">
        <v>0</v>
      </c>
      <c r="N29" s="5">
        <v>0</v>
      </c>
      <c r="O29" s="5">
        <v>0.42857142857142855</v>
      </c>
      <c r="P29" s="5">
        <v>0.42857142857142855</v>
      </c>
      <c r="Q29" s="5">
        <v>0.14285714285714285</v>
      </c>
      <c r="Z29" s="5" t="s">
        <v>160</v>
      </c>
    </row>
    <row r="30" spans="2:36" x14ac:dyDescent="0.25">
      <c r="B30" s="5">
        <v>0</v>
      </c>
      <c r="C30" s="5">
        <v>0.54347826086956519</v>
      </c>
      <c r="D30" s="5">
        <v>0.39130434782608697</v>
      </c>
      <c r="E30" s="5">
        <v>6.5217391304347824E-2</v>
      </c>
      <c r="N30" s="5">
        <v>0</v>
      </c>
      <c r="O30" s="5">
        <v>0.28260869565217389</v>
      </c>
      <c r="P30" s="5">
        <v>0.2608695652173913</v>
      </c>
      <c r="Q30" s="5">
        <v>0.45652173913043476</v>
      </c>
      <c r="Z30" s="5">
        <v>0.44827586206896552</v>
      </c>
      <c r="AA30" s="5">
        <v>0.31034482758620691</v>
      </c>
      <c r="AB30" s="5">
        <v>0.2413793103448276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</row>
    <row r="31" spans="2:36" x14ac:dyDescent="0.25">
      <c r="B31" s="5">
        <v>0</v>
      </c>
      <c r="C31" s="5">
        <v>0.27777777777777779</v>
      </c>
      <c r="D31" s="5">
        <v>0.61111111111111116</v>
      </c>
      <c r="E31" s="5">
        <v>0.1111111111111111</v>
      </c>
      <c r="N31" s="5">
        <v>0</v>
      </c>
      <c r="O31" s="5">
        <v>0.22222222222222221</v>
      </c>
      <c r="P31" s="5">
        <v>0.3888888888888889</v>
      </c>
      <c r="Q31" s="5">
        <v>0.3888888888888889</v>
      </c>
      <c r="Z31" s="5">
        <v>0</v>
      </c>
      <c r="AA31" s="5">
        <v>1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</row>
    <row r="32" spans="2:36" x14ac:dyDescent="0.25">
      <c r="B32" s="5">
        <v>0</v>
      </c>
      <c r="C32" s="5">
        <v>0</v>
      </c>
      <c r="D32" s="5">
        <v>0</v>
      </c>
      <c r="E32" s="5">
        <v>0</v>
      </c>
      <c r="N32" s="5">
        <v>0</v>
      </c>
      <c r="O32" s="5">
        <v>0</v>
      </c>
      <c r="P32" s="5">
        <v>0</v>
      </c>
      <c r="Q32" s="5">
        <v>0</v>
      </c>
      <c r="Z32" s="5">
        <v>0.25</v>
      </c>
      <c r="AA32" s="5">
        <v>0.625</v>
      </c>
      <c r="AB32" s="5">
        <v>0.125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</row>
    <row r="33" spans="2:36" x14ac:dyDescent="0.25">
      <c r="Z33" s="5">
        <v>0.4</v>
      </c>
      <c r="AA33" s="5">
        <v>0.33333333333333331</v>
      </c>
      <c r="AB33" s="5">
        <v>0.13333333333333333</v>
      </c>
      <c r="AC33" s="5">
        <v>0.13333333333333333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</row>
    <row r="34" spans="2:36" x14ac:dyDescent="0.25">
      <c r="B34" s="5" t="s">
        <v>4</v>
      </c>
      <c r="N34" s="5" t="s">
        <v>4</v>
      </c>
      <c r="Z34" s="5">
        <v>0.44444444444444442</v>
      </c>
      <c r="AA34" s="5">
        <v>0.3888888888888889</v>
      </c>
      <c r="AB34" s="5">
        <v>0.1111111111111111</v>
      </c>
      <c r="AC34" s="5">
        <v>5.5555555555555552E-2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</row>
    <row r="35" spans="2:36" x14ac:dyDescent="0.25">
      <c r="B35" s="5">
        <v>0.1111111111111111</v>
      </c>
      <c r="C35" s="5">
        <v>0.22222222222222221</v>
      </c>
      <c r="D35" s="5">
        <v>0.66666666666666663</v>
      </c>
      <c r="E35" s="5">
        <v>0</v>
      </c>
      <c r="N35" s="5">
        <v>0</v>
      </c>
      <c r="O35" s="5">
        <v>0.22222222222222221</v>
      </c>
      <c r="P35" s="5">
        <v>0.55555555555555558</v>
      </c>
      <c r="Q35" s="5">
        <v>0.22222222222222221</v>
      </c>
      <c r="Z35" s="5">
        <v>0.8</v>
      </c>
      <c r="AA35" s="5">
        <v>0.2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</row>
    <row r="36" spans="2:36" x14ac:dyDescent="0.25">
      <c r="B36" s="5">
        <v>0</v>
      </c>
      <c r="C36" s="5">
        <v>0.56756756756756754</v>
      </c>
      <c r="D36" s="5">
        <v>0.3783783783783784</v>
      </c>
      <c r="E36" s="5">
        <v>5.4054054054054057E-2</v>
      </c>
      <c r="N36" s="5">
        <v>0</v>
      </c>
      <c r="O36" s="5">
        <v>0.27027027027027029</v>
      </c>
      <c r="P36" s="5">
        <v>0.24324324324324326</v>
      </c>
      <c r="Q36" s="5">
        <v>0.48648648648648651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</row>
    <row r="37" spans="2:36" x14ac:dyDescent="0.25">
      <c r="B37" s="5">
        <v>0</v>
      </c>
      <c r="C37" s="5">
        <v>0.23076923076923078</v>
      </c>
      <c r="D37" s="5">
        <v>0.57692307692307687</v>
      </c>
      <c r="E37" s="5">
        <v>0.19230769230769232</v>
      </c>
      <c r="N37" s="5">
        <v>0</v>
      </c>
      <c r="O37" s="5">
        <v>0.34615384615384615</v>
      </c>
      <c r="P37" s="5">
        <v>0.23076923076923078</v>
      </c>
      <c r="Q37" s="5">
        <v>0.42307692307692307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</row>
    <row r="38" spans="2:36" x14ac:dyDescent="0.25">
      <c r="B38" s="5">
        <v>0</v>
      </c>
      <c r="C38" s="5">
        <v>0</v>
      </c>
      <c r="D38" s="5">
        <v>0.66666666666666663</v>
      </c>
      <c r="E38" s="5">
        <v>0.33333333333333331</v>
      </c>
      <c r="N38" s="5">
        <v>0</v>
      </c>
      <c r="O38" s="5">
        <v>0.16666666666666666</v>
      </c>
      <c r="P38" s="5">
        <v>0.33333333333333331</v>
      </c>
      <c r="Q38" s="5">
        <v>0.5</v>
      </c>
      <c r="Z38" s="5">
        <v>1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</row>
    <row r="39" spans="2:36" x14ac:dyDescent="0.25"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</row>
    <row r="40" spans="2:36" x14ac:dyDescent="0.25">
      <c r="B40" s="5" t="s">
        <v>5</v>
      </c>
      <c r="N40" s="5" t="s">
        <v>5</v>
      </c>
      <c r="Z40" s="5">
        <v>1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</row>
    <row r="41" spans="2:36" x14ac:dyDescent="0.25">
      <c r="B41" s="5">
        <v>0.20833333333333334</v>
      </c>
      <c r="C41" s="5">
        <v>0.58333333333333337</v>
      </c>
      <c r="D41" s="5">
        <v>0.16666666666666666</v>
      </c>
      <c r="E41" s="5">
        <v>4.1666666666666664E-2</v>
      </c>
      <c r="N41" s="5">
        <v>0.125</v>
      </c>
      <c r="O41" s="5">
        <v>0.16666666666666666</v>
      </c>
      <c r="P41" s="5">
        <v>0.33333333333333331</v>
      </c>
      <c r="Q41" s="5">
        <v>0.375</v>
      </c>
    </row>
    <row r="42" spans="2:36" x14ac:dyDescent="0.25">
      <c r="B42" s="5">
        <v>4.1666666666666664E-2</v>
      </c>
      <c r="C42" s="5">
        <v>0.5625</v>
      </c>
      <c r="D42" s="5">
        <v>0.33333333333333331</v>
      </c>
      <c r="E42" s="5">
        <v>6.25E-2</v>
      </c>
      <c r="N42" s="5">
        <v>4.1666666666666664E-2</v>
      </c>
      <c r="O42" s="5">
        <v>0.125</v>
      </c>
      <c r="P42" s="5">
        <v>0.35416666666666669</v>
      </c>
      <c r="Q42" s="5">
        <v>0.47916666666666669</v>
      </c>
      <c r="Z42" s="5" t="s">
        <v>161</v>
      </c>
    </row>
    <row r="43" spans="2:36" x14ac:dyDescent="0.25">
      <c r="B43" s="5">
        <v>0</v>
      </c>
      <c r="C43" s="5">
        <v>0.2</v>
      </c>
      <c r="D43" s="5">
        <v>0.6</v>
      </c>
      <c r="E43" s="5">
        <v>0.2</v>
      </c>
      <c r="N43" s="5">
        <v>0</v>
      </c>
      <c r="O43" s="5">
        <v>0</v>
      </c>
      <c r="P43" s="5">
        <v>0.6</v>
      </c>
      <c r="Q43" s="5">
        <v>0.4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</row>
    <row r="44" spans="2:36" x14ac:dyDescent="0.25">
      <c r="B44" s="5">
        <v>0</v>
      </c>
      <c r="C44" s="5">
        <v>0</v>
      </c>
      <c r="D44" s="5">
        <v>0</v>
      </c>
      <c r="E44" s="5">
        <v>1</v>
      </c>
      <c r="N44" s="5">
        <v>0</v>
      </c>
      <c r="O44" s="5">
        <v>0</v>
      </c>
      <c r="P44" s="5">
        <v>1</v>
      </c>
      <c r="Q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</row>
    <row r="45" spans="2:36" x14ac:dyDescent="0.25"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</row>
    <row r="46" spans="2:36" x14ac:dyDescent="0.25">
      <c r="B46" s="5" t="s">
        <v>6</v>
      </c>
      <c r="N46" s="5" t="s">
        <v>6</v>
      </c>
      <c r="Z46" s="5">
        <v>0</v>
      </c>
      <c r="AA46" s="5">
        <v>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</row>
    <row r="47" spans="2:36" x14ac:dyDescent="0.25">
      <c r="B47" s="5">
        <v>1</v>
      </c>
      <c r="C47" s="5">
        <v>0</v>
      </c>
      <c r="D47" s="5">
        <v>0</v>
      </c>
      <c r="E47" s="5">
        <v>0</v>
      </c>
      <c r="F47" s="5">
        <v>0</v>
      </c>
      <c r="N47" s="5">
        <v>1</v>
      </c>
      <c r="O47" s="5">
        <v>0</v>
      </c>
      <c r="P47" s="5">
        <v>0</v>
      </c>
      <c r="Q47" s="5">
        <v>0</v>
      </c>
      <c r="R47" s="5">
        <v>0</v>
      </c>
      <c r="Z47" s="5">
        <v>1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</row>
    <row r="48" spans="2:36" x14ac:dyDescent="0.25">
      <c r="B48" s="5">
        <v>0.19047619047619047</v>
      </c>
      <c r="C48" s="5">
        <v>0.52380952380952384</v>
      </c>
      <c r="D48" s="5">
        <v>0.2857142857142857</v>
      </c>
      <c r="E48" s="5">
        <v>0</v>
      </c>
      <c r="F48" s="5">
        <v>0</v>
      </c>
      <c r="N48" s="5">
        <v>4.7619047619047616E-2</v>
      </c>
      <c r="O48" s="5">
        <v>0.5714285714285714</v>
      </c>
      <c r="P48" s="5">
        <v>0.38095238095238093</v>
      </c>
      <c r="Q48" s="5">
        <v>0</v>
      </c>
      <c r="R48" s="5">
        <v>0</v>
      </c>
      <c r="Z48" s="5">
        <v>0.66666666666666663</v>
      </c>
      <c r="AA48" s="5">
        <v>0.33333333333333331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</row>
    <row r="49" spans="2:36" x14ac:dyDescent="0.25">
      <c r="B49" s="5">
        <v>8.8235294117647065E-2</v>
      </c>
      <c r="C49" s="5">
        <v>0.67647058823529416</v>
      </c>
      <c r="D49" s="5">
        <v>0.20588235294117646</v>
      </c>
      <c r="E49" s="5">
        <v>0</v>
      </c>
      <c r="F49" s="5">
        <v>2.9411764705882353E-2</v>
      </c>
      <c r="N49" s="5">
        <v>0.17647058823529413</v>
      </c>
      <c r="O49" s="5">
        <v>0.61764705882352944</v>
      </c>
      <c r="P49" s="5">
        <v>0.20588235294117646</v>
      </c>
      <c r="Q49" s="5">
        <v>0</v>
      </c>
      <c r="R49" s="5">
        <v>0</v>
      </c>
      <c r="Z49" s="5">
        <v>0</v>
      </c>
      <c r="AA49" s="5">
        <v>1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</row>
    <row r="50" spans="2:36" x14ac:dyDescent="0.25">
      <c r="B50" s="5">
        <v>0.125</v>
      </c>
      <c r="C50" s="5">
        <v>0.75</v>
      </c>
      <c r="D50" s="5">
        <v>6.25E-2</v>
      </c>
      <c r="E50" s="5">
        <v>0</v>
      </c>
      <c r="F50" s="5">
        <v>6.25E-2</v>
      </c>
      <c r="N50" s="5">
        <v>0</v>
      </c>
      <c r="O50" s="5">
        <v>0.6875</v>
      </c>
      <c r="P50" s="5">
        <v>0.3125</v>
      </c>
      <c r="Q50" s="5">
        <v>0</v>
      </c>
      <c r="R50" s="5">
        <v>0</v>
      </c>
      <c r="Z50" s="5">
        <v>0.33333333333333331</v>
      </c>
      <c r="AA50" s="5">
        <v>0.33333333333333331</v>
      </c>
      <c r="AB50" s="5">
        <v>0.33333333333333331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</row>
    <row r="51" spans="2:36" x14ac:dyDescent="0.25">
      <c r="B51" s="5">
        <v>0</v>
      </c>
      <c r="C51" s="5">
        <v>0.66666666666666663</v>
      </c>
      <c r="D51" s="5">
        <v>0.16666666666666666</v>
      </c>
      <c r="E51" s="5">
        <v>0</v>
      </c>
      <c r="F51" s="5">
        <v>0.16666666666666666</v>
      </c>
      <c r="N51" s="5">
        <v>0.33333333333333331</v>
      </c>
      <c r="O51" s="5">
        <v>0.16666666666666666</v>
      </c>
      <c r="P51" s="5">
        <v>0.5</v>
      </c>
      <c r="Q51" s="5">
        <v>0</v>
      </c>
      <c r="R51" s="5">
        <v>0</v>
      </c>
      <c r="Z51" s="5">
        <v>0.41176470588235292</v>
      </c>
      <c r="AA51" s="5">
        <v>0.41176470588235292</v>
      </c>
      <c r="AB51" s="5">
        <v>0.17647058823529413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</row>
    <row r="52" spans="2:36" x14ac:dyDescent="0.25">
      <c r="Z52" s="5">
        <v>0.35294117647058826</v>
      </c>
      <c r="AA52" s="5">
        <v>0.47058823529411764</v>
      </c>
      <c r="AB52" s="5">
        <v>0.11764705882352941</v>
      </c>
      <c r="AC52" s="5">
        <v>5.8823529411764705E-2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</row>
    <row r="53" spans="2:36" x14ac:dyDescent="0.25">
      <c r="B53" s="5" t="s">
        <v>16</v>
      </c>
      <c r="N53" s="5" t="s">
        <v>16</v>
      </c>
      <c r="Z53" s="5">
        <v>0.4</v>
      </c>
      <c r="AA53" s="5">
        <v>0.46666666666666667</v>
      </c>
      <c r="AB53" s="5">
        <v>0</v>
      </c>
      <c r="AC53" s="5">
        <v>3.3333333333333333E-2</v>
      </c>
      <c r="AD53" s="5">
        <v>3.3333333333333333E-2</v>
      </c>
      <c r="AE53" s="5">
        <v>3.3333333333333333E-2</v>
      </c>
      <c r="AF53" s="5">
        <v>0</v>
      </c>
      <c r="AG53" s="5">
        <v>0</v>
      </c>
      <c r="AH53" s="5">
        <v>3.3333333333333333E-2</v>
      </c>
      <c r="AI53" s="5">
        <v>0</v>
      </c>
      <c r="AJ53" s="5">
        <v>0</v>
      </c>
    </row>
    <row r="54" spans="2:36" x14ac:dyDescent="0.25">
      <c r="B54" s="5">
        <v>0.81132075471698117</v>
      </c>
      <c r="C54" s="5">
        <v>1.8867924528301886E-2</v>
      </c>
      <c r="D54" s="5">
        <v>0.16981132075471697</v>
      </c>
      <c r="N54" s="5">
        <v>0.84905660377358494</v>
      </c>
      <c r="O54" s="5">
        <v>0.11320754716981132</v>
      </c>
      <c r="P54" s="5">
        <v>3.7735849056603772E-2</v>
      </c>
    </row>
    <row r="55" spans="2:36" x14ac:dyDescent="0.25">
      <c r="B55" s="5">
        <v>0.625</v>
      </c>
      <c r="C55" s="5">
        <v>6.25E-2</v>
      </c>
      <c r="D55" s="5">
        <v>0.3125</v>
      </c>
      <c r="N55" s="5">
        <v>0.75</v>
      </c>
      <c r="O55" s="5">
        <v>0.1875</v>
      </c>
      <c r="P55" s="5">
        <v>6.25E-2</v>
      </c>
      <c r="Z55" s="5" t="s">
        <v>163</v>
      </c>
    </row>
    <row r="56" spans="2:36" x14ac:dyDescent="0.25">
      <c r="B56" s="5">
        <v>0.33333333333333331</v>
      </c>
      <c r="C56" s="5">
        <v>0.33333333333333331</v>
      </c>
      <c r="D56" s="5">
        <v>0.33333333333333331</v>
      </c>
      <c r="N56" s="5">
        <v>0.55555555555555558</v>
      </c>
      <c r="O56" s="5">
        <v>0.33333333333333331</v>
      </c>
      <c r="P56" s="5">
        <v>0.1111111111111111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</row>
    <row r="57" spans="2:36" x14ac:dyDescent="0.25"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</row>
    <row r="58" spans="2:36" x14ac:dyDescent="0.25">
      <c r="B58" s="5" t="s">
        <v>17</v>
      </c>
      <c r="N58" s="5" t="s">
        <v>17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</row>
    <row r="59" spans="2:36" x14ac:dyDescent="0.25">
      <c r="B59" s="5">
        <v>0.67441860465116277</v>
      </c>
      <c r="C59" s="5">
        <v>0.23255813953488372</v>
      </c>
      <c r="D59" s="5">
        <v>9.3023255813953487E-2</v>
      </c>
      <c r="N59" s="5">
        <v>0.81395348837209303</v>
      </c>
      <c r="O59" s="5">
        <v>0.16279069767441862</v>
      </c>
      <c r="P59" s="5">
        <v>2.3255813953488372E-2</v>
      </c>
      <c r="Z59" s="5">
        <v>1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</row>
    <row r="60" spans="2:36" x14ac:dyDescent="0.25">
      <c r="B60" s="5">
        <v>0.56521739130434778</v>
      </c>
      <c r="C60" s="5">
        <v>0.13043478260869565</v>
      </c>
      <c r="D60" s="5">
        <v>0.30434782608695654</v>
      </c>
      <c r="N60" s="5">
        <v>0.69565217391304346</v>
      </c>
      <c r="O60" s="5">
        <v>0.17391304347826086</v>
      </c>
      <c r="P60" s="5">
        <v>0.13043478260869565</v>
      </c>
      <c r="Z60" s="5">
        <v>1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</row>
    <row r="61" spans="2:36" x14ac:dyDescent="0.25">
      <c r="B61" s="5">
        <v>0.33333333333333331</v>
      </c>
      <c r="C61" s="5">
        <v>0.33333333333333331</v>
      </c>
      <c r="D61" s="5">
        <v>0.33333333333333331</v>
      </c>
      <c r="N61" s="5">
        <v>0.58333333333333337</v>
      </c>
      <c r="O61" s="5">
        <v>0.41666666666666669</v>
      </c>
      <c r="P61" s="5">
        <v>0</v>
      </c>
      <c r="Z61" s="5">
        <v>0.66666666666666663</v>
      </c>
      <c r="AA61" s="5">
        <v>0.33333333333333331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</row>
    <row r="62" spans="2:36" x14ac:dyDescent="0.25">
      <c r="Z62" s="5">
        <v>0</v>
      </c>
      <c r="AA62" s="5">
        <v>1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</row>
    <row r="63" spans="2:36" x14ac:dyDescent="0.25">
      <c r="B63" s="5" t="s">
        <v>7</v>
      </c>
      <c r="N63" s="5" t="s">
        <v>7</v>
      </c>
      <c r="Z63" s="5">
        <v>0.33333333333333331</v>
      </c>
      <c r="AA63" s="5">
        <v>0.33333333333333331</v>
      </c>
      <c r="AB63" s="5">
        <v>0.33333333333333331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</row>
    <row r="64" spans="2:36" x14ac:dyDescent="0.25">
      <c r="B64" s="5">
        <v>0.36842105263157893</v>
      </c>
      <c r="C64" s="5">
        <v>0.42105263157894735</v>
      </c>
      <c r="D64" s="5">
        <v>0.21052631578947367</v>
      </c>
      <c r="N64" s="5">
        <v>0.42105263157894735</v>
      </c>
      <c r="O64" s="5">
        <v>0.47368421052631576</v>
      </c>
      <c r="P64" s="5">
        <v>0.10526315789473684</v>
      </c>
      <c r="Z64" s="5">
        <v>0.47058823529411764</v>
      </c>
      <c r="AA64" s="5">
        <v>0.41176470588235292</v>
      </c>
      <c r="AB64" s="5">
        <v>0.11764705882352941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</row>
    <row r="65" spans="2:36" x14ac:dyDescent="0.25">
      <c r="B65" s="5">
        <v>0.32</v>
      </c>
      <c r="C65" s="5">
        <v>0.4</v>
      </c>
      <c r="D65" s="5">
        <v>0.28000000000000003</v>
      </c>
      <c r="N65" s="5">
        <v>0.36</v>
      </c>
      <c r="O65" s="5">
        <v>0.52</v>
      </c>
      <c r="P65" s="5">
        <v>0.12</v>
      </c>
      <c r="Z65" s="5">
        <v>0.35294117647058826</v>
      </c>
      <c r="AA65" s="5">
        <v>0.52941176470588236</v>
      </c>
      <c r="AB65" s="5">
        <v>5.8823529411764705E-2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5.8823529411764705E-2</v>
      </c>
      <c r="AI65" s="5">
        <v>0</v>
      </c>
      <c r="AJ65" s="5">
        <v>0</v>
      </c>
    </row>
    <row r="66" spans="2:36" x14ac:dyDescent="0.25">
      <c r="B66" s="5">
        <v>0.38235294117647056</v>
      </c>
      <c r="C66" s="5">
        <v>0.23529411764705882</v>
      </c>
      <c r="D66" s="5">
        <v>0.38235294117647056</v>
      </c>
      <c r="N66" s="5">
        <v>0.3235294117647059</v>
      </c>
      <c r="O66" s="5">
        <v>0.58823529411764708</v>
      </c>
      <c r="P66" s="5">
        <v>8.8235294117647065E-2</v>
      </c>
      <c r="Z66" s="5">
        <v>0.4</v>
      </c>
      <c r="AA66" s="5">
        <v>0.36666666666666664</v>
      </c>
      <c r="AB66" s="5">
        <v>0.13333333333333333</v>
      </c>
      <c r="AC66" s="5">
        <v>3.3333333333333333E-2</v>
      </c>
      <c r="AD66" s="5">
        <v>0</v>
      </c>
      <c r="AE66" s="5">
        <v>0</v>
      </c>
      <c r="AF66" s="5">
        <v>3.3333333333333333E-2</v>
      </c>
      <c r="AG66" s="5">
        <v>0</v>
      </c>
      <c r="AH66" s="5">
        <v>3.3333333333333333E-2</v>
      </c>
      <c r="AI66" s="5">
        <v>0</v>
      </c>
      <c r="AJ66" s="5">
        <v>0</v>
      </c>
    </row>
    <row r="68" spans="2:36" x14ac:dyDescent="0.25">
      <c r="B68" s="5" t="s">
        <v>8</v>
      </c>
      <c r="N68" s="5" t="s">
        <v>8</v>
      </c>
      <c r="Z68" s="5" t="s">
        <v>162</v>
      </c>
    </row>
    <row r="69" spans="2:36" x14ac:dyDescent="0.25">
      <c r="B69" s="5">
        <v>0.16666666666666666</v>
      </c>
      <c r="C69" s="5">
        <v>0.33333333333333331</v>
      </c>
      <c r="D69" s="5">
        <v>0.5</v>
      </c>
      <c r="N69" s="5">
        <v>0.16666666666666666</v>
      </c>
      <c r="O69" s="5">
        <v>0.66666666666666663</v>
      </c>
      <c r="P69" s="5">
        <v>0.16666666666666666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</row>
    <row r="70" spans="2:36" x14ac:dyDescent="0.25">
      <c r="B70" s="5">
        <v>0</v>
      </c>
      <c r="C70" s="5">
        <v>0.33333333333333331</v>
      </c>
      <c r="D70" s="5">
        <v>0.66666666666666663</v>
      </c>
      <c r="N70" s="5">
        <v>0.33333333333333331</v>
      </c>
      <c r="O70" s="5">
        <v>0.44444444444444442</v>
      </c>
      <c r="P70" s="5">
        <v>0.22222222222222221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</row>
    <row r="71" spans="2:36" x14ac:dyDescent="0.25">
      <c r="B71" s="5">
        <v>9.5238095238095233E-2</v>
      </c>
      <c r="C71" s="5">
        <v>0.23809523809523808</v>
      </c>
      <c r="D71" s="5">
        <v>0.66666666666666663</v>
      </c>
      <c r="N71" s="5">
        <v>0.2857142857142857</v>
      </c>
      <c r="O71" s="5">
        <v>0.47619047619047616</v>
      </c>
      <c r="P71" s="5">
        <v>0.23809523809523808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</row>
    <row r="72" spans="2:36" x14ac:dyDescent="0.25">
      <c r="Z72" s="5">
        <v>1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</row>
    <row r="73" spans="2:36" x14ac:dyDescent="0.25">
      <c r="B73" s="5" t="s">
        <v>10</v>
      </c>
      <c r="N73" s="5" t="s">
        <v>10</v>
      </c>
      <c r="Z73" s="5">
        <v>1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</row>
    <row r="74" spans="2:36" x14ac:dyDescent="0.25">
      <c r="B74" s="5">
        <v>0.8392857142857143</v>
      </c>
      <c r="C74" s="5">
        <v>0</v>
      </c>
      <c r="D74" s="5">
        <v>0.10714285714285714</v>
      </c>
      <c r="E74" s="5">
        <v>5.3571428571428568E-2</v>
      </c>
      <c r="N74" s="5">
        <v>0.8392857142857143</v>
      </c>
      <c r="O74" s="5">
        <v>0.125</v>
      </c>
      <c r="P74" s="5">
        <v>3.5714285714285712E-2</v>
      </c>
      <c r="Q74" s="5">
        <v>0</v>
      </c>
      <c r="Z74" s="5">
        <v>0</v>
      </c>
      <c r="AA74" s="5">
        <v>0.66666666666666663</v>
      </c>
      <c r="AB74" s="5">
        <v>0.33333333333333331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</row>
    <row r="75" spans="2:36" x14ac:dyDescent="0.25">
      <c r="B75" s="5">
        <v>0.63636363636363635</v>
      </c>
      <c r="C75" s="5">
        <v>9.0909090909090912E-2</v>
      </c>
      <c r="D75" s="5">
        <v>0.18181818181818182</v>
      </c>
      <c r="E75" s="5">
        <v>9.0909090909090912E-2</v>
      </c>
      <c r="N75" s="5">
        <v>0.54545454545454541</v>
      </c>
      <c r="O75" s="5">
        <v>0.18181818181818182</v>
      </c>
      <c r="P75" s="5">
        <v>0.27272727272727271</v>
      </c>
      <c r="Q75" s="5">
        <v>0</v>
      </c>
      <c r="Z75" s="5">
        <v>0</v>
      </c>
      <c r="AA75" s="5">
        <v>1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</row>
    <row r="76" spans="2:36" x14ac:dyDescent="0.25">
      <c r="B76" s="5">
        <v>0.44444444444444442</v>
      </c>
      <c r="C76" s="5">
        <v>0.22222222222222221</v>
      </c>
      <c r="D76" s="5">
        <v>0.1111111111111111</v>
      </c>
      <c r="E76" s="5">
        <v>0.22222222222222221</v>
      </c>
      <c r="N76" s="5">
        <v>0.55555555555555558</v>
      </c>
      <c r="O76" s="5">
        <v>0.33333333333333331</v>
      </c>
      <c r="P76" s="5">
        <v>0</v>
      </c>
      <c r="Q76" s="5">
        <v>0.1111111111111111</v>
      </c>
      <c r="Z76" s="5">
        <v>0.33333333333333331</v>
      </c>
      <c r="AA76" s="5">
        <v>0.66666666666666663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</row>
    <row r="77" spans="2:36" x14ac:dyDescent="0.25">
      <c r="B77" s="5">
        <v>0.5</v>
      </c>
      <c r="C77" s="5">
        <v>0</v>
      </c>
      <c r="D77" s="5">
        <v>0.5</v>
      </c>
      <c r="E77" s="5">
        <v>0</v>
      </c>
      <c r="N77" s="5">
        <v>1</v>
      </c>
      <c r="O77" s="5">
        <v>0</v>
      </c>
      <c r="P77" s="5">
        <v>0</v>
      </c>
      <c r="Q77" s="5">
        <v>0</v>
      </c>
      <c r="Z77" s="5">
        <v>0.47058823529411764</v>
      </c>
      <c r="AA77" s="5">
        <v>0.29411764705882354</v>
      </c>
      <c r="AB77" s="5">
        <v>0.23529411764705882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</row>
    <row r="78" spans="2:36" x14ac:dyDescent="0.25">
      <c r="Z78" s="5">
        <v>0.29411764705882354</v>
      </c>
      <c r="AA78" s="5">
        <v>0.6470588235294118</v>
      </c>
      <c r="AB78" s="5">
        <v>0</v>
      </c>
      <c r="AC78" s="5">
        <v>5.8823529411764705E-2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</row>
    <row r="79" spans="2:36" x14ac:dyDescent="0.25">
      <c r="Z79" s="5">
        <v>0.4</v>
      </c>
      <c r="AA79" s="5">
        <v>0.43333333333333335</v>
      </c>
      <c r="AB79" s="5">
        <v>0.1</v>
      </c>
      <c r="AC79" s="5">
        <v>6.6666666666666666E-2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</row>
  </sheetData>
  <mergeCells count="2">
    <mergeCell ref="B1:K1"/>
    <mergeCell ref="N1:W1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B1:AP79"/>
  <sheetViews>
    <sheetView showGridLines="0" workbookViewId="0">
      <selection activeCell="B2" sqref="B1:AP1048576"/>
    </sheetView>
  </sheetViews>
  <sheetFormatPr defaultRowHeight="15" x14ac:dyDescent="0.25"/>
  <cols>
    <col min="1" max="1" width="2.42578125" customWidth="1"/>
    <col min="2" max="36" width="4.28515625" style="5" customWidth="1"/>
    <col min="37" max="42" width="4.28515625" customWidth="1"/>
  </cols>
  <sheetData>
    <row r="1" spans="2:42" x14ac:dyDescent="0.25">
      <c r="B1" s="203" t="s">
        <v>59</v>
      </c>
      <c r="C1" s="203"/>
      <c r="D1" s="203"/>
      <c r="E1" s="203"/>
      <c r="F1" s="203"/>
      <c r="G1" s="203"/>
      <c r="H1" s="203"/>
      <c r="I1" s="203"/>
      <c r="J1" s="203"/>
      <c r="K1" s="203"/>
      <c r="N1" s="203" t="s">
        <v>60</v>
      </c>
      <c r="O1" s="203"/>
      <c r="P1" s="203"/>
      <c r="Q1" s="203"/>
      <c r="R1" s="203"/>
      <c r="S1" s="203"/>
      <c r="T1" s="203"/>
      <c r="U1" s="203"/>
      <c r="V1" s="203"/>
      <c r="W1" s="203"/>
    </row>
    <row r="2" spans="2:42" x14ac:dyDescent="0.25">
      <c r="B2" s="5" t="s">
        <v>0</v>
      </c>
      <c r="N2" s="5" t="s">
        <v>0</v>
      </c>
    </row>
    <row r="3" spans="2:42" x14ac:dyDescent="0.25">
      <c r="B3" s="5">
        <v>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N3" s="5">
        <v>0.75862068965517238</v>
      </c>
      <c r="O3" s="5">
        <v>0.20689655172413793</v>
      </c>
      <c r="P3" s="5">
        <v>3.4482758620689655E-2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Z3" s="5" t="s">
        <v>158</v>
      </c>
    </row>
    <row r="4" spans="2:42" x14ac:dyDescent="0.25">
      <c r="B4" s="5">
        <v>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N4" s="5">
        <v>1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Z4" s="5">
        <v>0.89655172413793105</v>
      </c>
      <c r="AA4" s="5">
        <v>6.8965517241379309E-2</v>
      </c>
      <c r="AB4" s="5">
        <v>3.4482758620689655E-2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L4" s="5"/>
      <c r="AM4" s="5" t="s">
        <v>164</v>
      </c>
      <c r="AN4" s="5" t="s">
        <v>165</v>
      </c>
      <c r="AO4" s="5" t="s">
        <v>166</v>
      </c>
      <c r="AP4" s="5" t="s">
        <v>167</v>
      </c>
    </row>
    <row r="5" spans="2:42" x14ac:dyDescent="0.25">
      <c r="B5" s="5">
        <v>0.75</v>
      </c>
      <c r="C5" s="5">
        <v>0.125</v>
      </c>
      <c r="D5" s="5">
        <v>0.125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N5" s="5">
        <v>0.625</v>
      </c>
      <c r="O5" s="5">
        <v>0.25</v>
      </c>
      <c r="P5" s="5">
        <v>0.125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Z5" s="5">
        <v>0</v>
      </c>
      <c r="AA5" s="5">
        <v>1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L5" s="5">
        <v>1</v>
      </c>
      <c r="AM5" s="5">
        <v>3.048780487804878E-2</v>
      </c>
      <c r="AN5" s="5">
        <v>6.4935064935064939E-3</v>
      </c>
      <c r="AO5" s="5">
        <v>5.9523809523809521E-3</v>
      </c>
      <c r="AP5" s="5">
        <v>6.41025641025641E-3</v>
      </c>
    </row>
    <row r="6" spans="2:42" x14ac:dyDescent="0.25">
      <c r="B6" s="5">
        <v>0.4</v>
      </c>
      <c r="C6" s="5">
        <v>0.33333333333333331</v>
      </c>
      <c r="D6" s="5">
        <v>0.2</v>
      </c>
      <c r="E6" s="5">
        <v>6.6666666666666666E-2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N6" s="5">
        <v>0.53333333333333333</v>
      </c>
      <c r="O6" s="5">
        <v>0.26666666666666666</v>
      </c>
      <c r="P6" s="5">
        <v>0.2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Z6" s="5">
        <v>0.875</v>
      </c>
      <c r="AA6" s="5">
        <v>0</v>
      </c>
      <c r="AB6" s="5">
        <v>0.125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L6" s="5">
        <v>2</v>
      </c>
      <c r="AM6" s="5">
        <v>0.43902439024390244</v>
      </c>
      <c r="AN6" s="5">
        <v>0.20779220779220781</v>
      </c>
      <c r="AO6" s="5">
        <v>0</v>
      </c>
      <c r="AP6" s="5">
        <v>0</v>
      </c>
    </row>
    <row r="7" spans="2:42" x14ac:dyDescent="0.25">
      <c r="B7" s="5">
        <v>0.3888888888888889</v>
      </c>
      <c r="C7" s="5">
        <v>0.44444444444444442</v>
      </c>
      <c r="D7" s="5">
        <v>0.16666666666666666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N7" s="5">
        <v>0.55555555555555558</v>
      </c>
      <c r="O7" s="5">
        <v>0.22222222222222221</v>
      </c>
      <c r="P7" s="5">
        <v>0.22222222222222221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Z7" s="5">
        <v>0.66666666666666663</v>
      </c>
      <c r="AA7" s="5">
        <v>0.2</v>
      </c>
      <c r="AB7" s="5">
        <v>0.13333333333333333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L7" s="5">
        <v>3</v>
      </c>
      <c r="AM7" s="5">
        <v>5.4878048780487805E-2</v>
      </c>
      <c r="AN7" s="5">
        <v>6.4935064935064929E-2</v>
      </c>
      <c r="AO7" s="5">
        <v>0.11904761904761904</v>
      </c>
      <c r="AP7" s="5">
        <v>7.6923076923076927E-2</v>
      </c>
    </row>
    <row r="8" spans="2:42" x14ac:dyDescent="0.25">
      <c r="B8" s="5">
        <v>0</v>
      </c>
      <c r="C8" s="5">
        <v>0.6</v>
      </c>
      <c r="D8" s="5">
        <v>0.4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N8" s="5">
        <v>0.6</v>
      </c>
      <c r="O8" s="5">
        <v>0.4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Z8" s="5">
        <v>0.83333333333333337</v>
      </c>
      <c r="AA8" s="5">
        <v>5.5555555555555552E-2</v>
      </c>
      <c r="AB8" s="5">
        <v>0.1111111111111111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L8" s="5">
        <v>4</v>
      </c>
      <c r="AM8" s="5">
        <v>0.29878048780487804</v>
      </c>
      <c r="AN8" s="5">
        <v>0.33766233766233766</v>
      </c>
      <c r="AO8" s="5">
        <v>0.36904761904761907</v>
      </c>
      <c r="AP8" s="5">
        <v>0.25</v>
      </c>
    </row>
    <row r="9" spans="2:42" x14ac:dyDescent="0.25"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s="5">
        <v>1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L9" s="5">
        <v>5</v>
      </c>
      <c r="AM9" s="5">
        <v>0.17682926829268292</v>
      </c>
      <c r="AN9" s="5">
        <v>0.38311688311688313</v>
      </c>
      <c r="AO9" s="5">
        <v>0.50595238095238093</v>
      </c>
      <c r="AP9" s="5">
        <v>0.66666666666666663</v>
      </c>
    </row>
    <row r="10" spans="2:42" x14ac:dyDescent="0.25"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</row>
    <row r="11" spans="2:42" x14ac:dyDescent="0.25">
      <c r="B11" s="5">
        <v>0</v>
      </c>
      <c r="C11" s="5">
        <v>1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N11" s="5">
        <v>1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</row>
    <row r="12" spans="2:42" x14ac:dyDescent="0.25"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 s="5">
        <v>1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</row>
    <row r="13" spans="2:42" x14ac:dyDescent="0.25">
      <c r="B13" s="5">
        <v>1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N13" s="5">
        <v>1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</row>
    <row r="14" spans="2:42" x14ac:dyDescent="0.25">
      <c r="Z14" s="5">
        <v>1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</row>
    <row r="15" spans="2:42" x14ac:dyDescent="0.25">
      <c r="B15" s="5" t="s">
        <v>1</v>
      </c>
      <c r="N15" s="5" t="s">
        <v>1</v>
      </c>
    </row>
    <row r="16" spans="2:42" x14ac:dyDescent="0.25"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 s="5" t="s">
        <v>159</v>
      </c>
    </row>
    <row r="17" spans="2:36" x14ac:dyDescent="0.25"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 s="5">
        <v>0.62068965517241381</v>
      </c>
      <c r="AA17" s="5">
        <v>0.27586206896551724</v>
      </c>
      <c r="AB17" s="5">
        <v>0.10344827586206896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</row>
    <row r="18" spans="2:36" x14ac:dyDescent="0.25"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 s="5">
        <v>0</v>
      </c>
      <c r="AA18" s="5">
        <v>0</v>
      </c>
      <c r="AB18" s="5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</row>
    <row r="19" spans="2:36" x14ac:dyDescent="0.25">
      <c r="B19" s="5">
        <v>0</v>
      </c>
      <c r="C19" s="5">
        <v>0</v>
      </c>
      <c r="D19" s="5">
        <v>0</v>
      </c>
      <c r="E19" s="5">
        <v>0</v>
      </c>
      <c r="F19" s="5">
        <v>1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N19" s="5">
        <v>0</v>
      </c>
      <c r="O19" s="5">
        <v>0</v>
      </c>
      <c r="P19" s="5">
        <v>1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 s="5">
        <v>0.5</v>
      </c>
      <c r="AA19" s="5">
        <v>0.375</v>
      </c>
      <c r="AB19" s="5">
        <v>0.125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</row>
    <row r="20" spans="2:36" x14ac:dyDescent="0.25">
      <c r="B20" s="5">
        <v>0</v>
      </c>
      <c r="C20" s="5">
        <v>0</v>
      </c>
      <c r="D20" s="5">
        <v>1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N20" s="5">
        <v>1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 s="5">
        <v>0.6</v>
      </c>
      <c r="AA20" s="5">
        <v>0.26666666666666666</v>
      </c>
      <c r="AB20" s="5">
        <v>0.13333333333333333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</row>
    <row r="21" spans="2:36" x14ac:dyDescent="0.25">
      <c r="B21" s="5">
        <v>0.66666666666666663</v>
      </c>
      <c r="C21" s="5">
        <v>0</v>
      </c>
      <c r="D21" s="5">
        <v>0.33333333333333331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N21" s="5">
        <v>0.66666666666666663</v>
      </c>
      <c r="O21" s="5">
        <v>0.33333333333333331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 s="5">
        <v>0.72222222222222221</v>
      </c>
      <c r="AA21" s="5">
        <v>0.27777777777777779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</row>
    <row r="22" spans="2:36" x14ac:dyDescent="0.25">
      <c r="B22" s="5">
        <v>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N22" s="5">
        <v>0</v>
      </c>
      <c r="O22" s="5">
        <v>1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 s="5">
        <v>0.8</v>
      </c>
      <c r="AA22" s="5">
        <v>0.2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</row>
    <row r="23" spans="2:36" x14ac:dyDescent="0.25">
      <c r="B23" s="5">
        <v>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N23" s="5">
        <v>0.66666666666666663</v>
      </c>
      <c r="O23" s="5">
        <v>0.33333333333333331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</row>
    <row r="24" spans="2:36" x14ac:dyDescent="0.25">
      <c r="B24" s="5">
        <v>0.29411764705882354</v>
      </c>
      <c r="C24" s="5">
        <v>0.41176470588235292</v>
      </c>
      <c r="D24" s="5">
        <v>0.23529411764705882</v>
      </c>
      <c r="E24" s="5">
        <v>5.8823529411764705E-2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N24" s="5">
        <v>0.52941176470588236</v>
      </c>
      <c r="O24" s="5">
        <v>0.23529411764705882</v>
      </c>
      <c r="P24" s="5">
        <v>0.11764705882352941</v>
      </c>
      <c r="Q24" s="5">
        <v>0.11764705882352941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</row>
    <row r="25" spans="2:36" x14ac:dyDescent="0.25">
      <c r="B25" s="5">
        <v>0.29411764705882354</v>
      </c>
      <c r="C25" s="5">
        <v>0.17647058823529413</v>
      </c>
      <c r="D25" s="5">
        <v>0.35294117647058826</v>
      </c>
      <c r="E25" s="5">
        <v>0.17647058823529413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N25" s="5">
        <v>0.29411764705882354</v>
      </c>
      <c r="O25" s="5">
        <v>0.58823529411764708</v>
      </c>
      <c r="P25" s="5">
        <v>5.8823529411764705E-2</v>
      </c>
      <c r="Q25" s="5">
        <v>5.8823529411764705E-2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 s="5">
        <v>1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</row>
    <row r="26" spans="2:36" x14ac:dyDescent="0.25">
      <c r="B26" s="5">
        <v>0.43333333333333335</v>
      </c>
      <c r="C26" s="5">
        <v>0.23333333333333334</v>
      </c>
      <c r="D26" s="5">
        <v>0.13333333333333333</v>
      </c>
      <c r="E26" s="5">
        <v>0.13333333333333333</v>
      </c>
      <c r="F26" s="5">
        <v>6.6666666666666666E-2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N26" s="5">
        <v>0.46666666666666667</v>
      </c>
      <c r="O26" s="5">
        <v>0.3</v>
      </c>
      <c r="P26" s="5">
        <v>0.13333333333333333</v>
      </c>
      <c r="Q26" s="5">
        <v>0</v>
      </c>
      <c r="R26" s="5">
        <v>3.3333333333333333E-2</v>
      </c>
      <c r="S26" s="5">
        <v>3.3333333333333333E-2</v>
      </c>
      <c r="T26" s="5">
        <v>3.3333333333333333E-2</v>
      </c>
      <c r="U26" s="5">
        <v>0</v>
      </c>
      <c r="V26" s="5">
        <v>0</v>
      </c>
      <c r="W26" s="5">
        <v>0</v>
      </c>
      <c r="X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</row>
    <row r="27" spans="2:36" x14ac:dyDescent="0.25">
      <c r="Z27" s="5">
        <v>1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</row>
    <row r="28" spans="2:36" x14ac:dyDescent="0.25">
      <c r="B28" s="5" t="s">
        <v>3</v>
      </c>
      <c r="N28" s="5" t="s">
        <v>3</v>
      </c>
    </row>
    <row r="29" spans="2:36" x14ac:dyDescent="0.25">
      <c r="B29" s="5">
        <v>7.1428571428571425E-2</v>
      </c>
      <c r="C29" s="5">
        <v>0.7142857142857143</v>
      </c>
      <c r="D29" s="5">
        <v>0.21428571428571427</v>
      </c>
      <c r="E29" s="5">
        <v>0</v>
      </c>
      <c r="N29" s="5">
        <v>0</v>
      </c>
      <c r="O29" s="5">
        <v>0.42857142857142855</v>
      </c>
      <c r="P29" s="5">
        <v>0.42857142857142855</v>
      </c>
      <c r="Q29" s="5">
        <v>0.14285714285714285</v>
      </c>
      <c r="Z29" s="5" t="s">
        <v>160</v>
      </c>
    </row>
    <row r="30" spans="2:36" x14ac:dyDescent="0.25">
      <c r="B30" s="5">
        <v>0</v>
      </c>
      <c r="C30" s="5">
        <v>0.54347826086956519</v>
      </c>
      <c r="D30" s="5">
        <v>0.39130434782608697</v>
      </c>
      <c r="E30" s="5">
        <v>6.5217391304347824E-2</v>
      </c>
      <c r="N30" s="5">
        <v>0</v>
      </c>
      <c r="O30" s="5">
        <v>0.28260869565217389</v>
      </c>
      <c r="P30" s="5">
        <v>0.2608695652173913</v>
      </c>
      <c r="Q30" s="5">
        <v>0.45652173913043476</v>
      </c>
      <c r="Z30" s="5">
        <v>0.44827586206896552</v>
      </c>
      <c r="AA30" s="5">
        <v>0.31034482758620691</v>
      </c>
      <c r="AB30" s="5">
        <v>0.2413793103448276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</row>
    <row r="31" spans="2:36" x14ac:dyDescent="0.25">
      <c r="B31" s="5">
        <v>0</v>
      </c>
      <c r="C31" s="5">
        <v>0.27777777777777779</v>
      </c>
      <c r="D31" s="5">
        <v>0.61111111111111116</v>
      </c>
      <c r="E31" s="5">
        <v>0.1111111111111111</v>
      </c>
      <c r="N31" s="5">
        <v>0</v>
      </c>
      <c r="O31" s="5">
        <v>0.22222222222222221</v>
      </c>
      <c r="P31" s="5">
        <v>0.3888888888888889</v>
      </c>
      <c r="Q31" s="5">
        <v>0.3888888888888889</v>
      </c>
      <c r="Z31" s="5">
        <v>0</v>
      </c>
      <c r="AA31" s="5">
        <v>1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</row>
    <row r="32" spans="2:36" x14ac:dyDescent="0.25">
      <c r="B32" s="5">
        <v>0</v>
      </c>
      <c r="C32" s="5">
        <v>0</v>
      </c>
      <c r="D32" s="5">
        <v>0</v>
      </c>
      <c r="E32" s="5">
        <v>0</v>
      </c>
      <c r="N32" s="5">
        <v>0</v>
      </c>
      <c r="O32" s="5">
        <v>0</v>
      </c>
      <c r="P32" s="5">
        <v>0</v>
      </c>
      <c r="Q32" s="5">
        <v>0</v>
      </c>
      <c r="Z32" s="5">
        <v>0.25</v>
      </c>
      <c r="AA32" s="5">
        <v>0.625</v>
      </c>
      <c r="AB32" s="5">
        <v>0.125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</row>
    <row r="33" spans="2:36" x14ac:dyDescent="0.25">
      <c r="Z33" s="5">
        <v>0.4</v>
      </c>
      <c r="AA33" s="5">
        <v>0.33333333333333331</v>
      </c>
      <c r="AB33" s="5">
        <v>0.13333333333333333</v>
      </c>
      <c r="AC33" s="5">
        <v>0.13333333333333333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</row>
    <row r="34" spans="2:36" x14ac:dyDescent="0.25">
      <c r="B34" s="5" t="s">
        <v>4</v>
      </c>
      <c r="N34" s="5" t="s">
        <v>4</v>
      </c>
      <c r="Z34" s="5">
        <v>0.44444444444444442</v>
      </c>
      <c r="AA34" s="5">
        <v>0.3888888888888889</v>
      </c>
      <c r="AB34" s="5">
        <v>0.1111111111111111</v>
      </c>
      <c r="AC34" s="5">
        <v>5.5555555555555552E-2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</row>
    <row r="35" spans="2:36" x14ac:dyDescent="0.25">
      <c r="B35" s="5">
        <v>0.1111111111111111</v>
      </c>
      <c r="C35" s="5">
        <v>0.22222222222222221</v>
      </c>
      <c r="D35" s="5">
        <v>0.66666666666666663</v>
      </c>
      <c r="E35" s="5">
        <v>0</v>
      </c>
      <c r="N35" s="5">
        <v>0</v>
      </c>
      <c r="O35" s="5">
        <v>0.22222222222222221</v>
      </c>
      <c r="P35" s="5">
        <v>0.55555555555555558</v>
      </c>
      <c r="Q35" s="5">
        <v>0.22222222222222221</v>
      </c>
      <c r="Z35" s="5">
        <v>0.8</v>
      </c>
      <c r="AA35" s="5">
        <v>0.2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</row>
    <row r="36" spans="2:36" x14ac:dyDescent="0.25">
      <c r="B36" s="5">
        <v>0</v>
      </c>
      <c r="C36" s="5">
        <v>0.56756756756756754</v>
      </c>
      <c r="D36" s="5">
        <v>0.3783783783783784</v>
      </c>
      <c r="E36" s="5">
        <v>5.4054054054054057E-2</v>
      </c>
      <c r="N36" s="5">
        <v>0</v>
      </c>
      <c r="O36" s="5">
        <v>0.27027027027027029</v>
      </c>
      <c r="P36" s="5">
        <v>0.24324324324324326</v>
      </c>
      <c r="Q36" s="5">
        <v>0.48648648648648651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</row>
    <row r="37" spans="2:36" x14ac:dyDescent="0.25">
      <c r="B37" s="5">
        <v>0</v>
      </c>
      <c r="C37" s="5">
        <v>0.23076923076923078</v>
      </c>
      <c r="D37" s="5">
        <v>0.57692307692307687</v>
      </c>
      <c r="E37" s="5">
        <v>0.19230769230769232</v>
      </c>
      <c r="N37" s="5">
        <v>0</v>
      </c>
      <c r="O37" s="5">
        <v>0.34615384615384615</v>
      </c>
      <c r="P37" s="5">
        <v>0.23076923076923078</v>
      </c>
      <c r="Q37" s="5">
        <v>0.42307692307692307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</row>
    <row r="38" spans="2:36" x14ac:dyDescent="0.25">
      <c r="B38" s="5">
        <v>0</v>
      </c>
      <c r="C38" s="5">
        <v>0</v>
      </c>
      <c r="D38" s="5">
        <v>0.66666666666666663</v>
      </c>
      <c r="E38" s="5">
        <v>0.33333333333333331</v>
      </c>
      <c r="N38" s="5">
        <v>0</v>
      </c>
      <c r="O38" s="5">
        <v>0.16666666666666666</v>
      </c>
      <c r="P38" s="5">
        <v>0.33333333333333331</v>
      </c>
      <c r="Q38" s="5">
        <v>0.5</v>
      </c>
      <c r="Z38" s="5">
        <v>1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</row>
    <row r="39" spans="2:36" x14ac:dyDescent="0.25"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</row>
    <row r="40" spans="2:36" x14ac:dyDescent="0.25">
      <c r="B40" s="5" t="s">
        <v>5</v>
      </c>
      <c r="N40" s="5" t="s">
        <v>5</v>
      </c>
      <c r="Z40" s="5">
        <v>1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</row>
    <row r="41" spans="2:36" x14ac:dyDescent="0.25">
      <c r="B41" s="5">
        <v>0.20833333333333334</v>
      </c>
      <c r="C41" s="5">
        <v>0.58333333333333337</v>
      </c>
      <c r="D41" s="5">
        <v>0.16666666666666666</v>
      </c>
      <c r="E41" s="5">
        <v>4.1666666666666664E-2</v>
      </c>
      <c r="N41" s="5">
        <v>0.125</v>
      </c>
      <c r="O41" s="5">
        <v>0.16666666666666666</v>
      </c>
      <c r="P41" s="5">
        <v>0.33333333333333331</v>
      </c>
      <c r="Q41" s="5">
        <v>0.375</v>
      </c>
    </row>
    <row r="42" spans="2:36" x14ac:dyDescent="0.25">
      <c r="B42" s="5">
        <v>4.1666666666666664E-2</v>
      </c>
      <c r="C42" s="5">
        <v>0.5625</v>
      </c>
      <c r="D42" s="5">
        <v>0.33333333333333331</v>
      </c>
      <c r="E42" s="5">
        <v>6.25E-2</v>
      </c>
      <c r="N42" s="5">
        <v>4.1666666666666664E-2</v>
      </c>
      <c r="O42" s="5">
        <v>0.125</v>
      </c>
      <c r="P42" s="5">
        <v>0.35416666666666669</v>
      </c>
      <c r="Q42" s="5">
        <v>0.47916666666666669</v>
      </c>
      <c r="Z42" s="5" t="s">
        <v>161</v>
      </c>
    </row>
    <row r="43" spans="2:36" x14ac:dyDescent="0.25">
      <c r="B43" s="5">
        <v>0</v>
      </c>
      <c r="C43" s="5">
        <v>0.2</v>
      </c>
      <c r="D43" s="5">
        <v>0.6</v>
      </c>
      <c r="E43" s="5">
        <v>0.2</v>
      </c>
      <c r="N43" s="5">
        <v>0</v>
      </c>
      <c r="O43" s="5">
        <v>0</v>
      </c>
      <c r="P43" s="5">
        <v>0.6</v>
      </c>
      <c r="Q43" s="5">
        <v>0.4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</row>
    <row r="44" spans="2:36" x14ac:dyDescent="0.25">
      <c r="B44" s="5">
        <v>0</v>
      </c>
      <c r="C44" s="5">
        <v>0</v>
      </c>
      <c r="D44" s="5">
        <v>0</v>
      </c>
      <c r="E44" s="5">
        <v>1</v>
      </c>
      <c r="N44" s="5">
        <v>0</v>
      </c>
      <c r="O44" s="5">
        <v>0</v>
      </c>
      <c r="P44" s="5">
        <v>1</v>
      </c>
      <c r="Q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</row>
    <row r="45" spans="2:36" x14ac:dyDescent="0.25"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</row>
    <row r="46" spans="2:36" x14ac:dyDescent="0.25">
      <c r="B46" s="5" t="s">
        <v>6</v>
      </c>
      <c r="N46" s="5" t="s">
        <v>6</v>
      </c>
      <c r="Z46" s="5">
        <v>0</v>
      </c>
      <c r="AA46" s="5">
        <v>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</row>
    <row r="47" spans="2:36" x14ac:dyDescent="0.25">
      <c r="B47" s="5">
        <v>1</v>
      </c>
      <c r="C47" s="5">
        <v>0</v>
      </c>
      <c r="D47" s="5">
        <v>0</v>
      </c>
      <c r="E47" s="5">
        <v>0</v>
      </c>
      <c r="F47" s="5">
        <v>0</v>
      </c>
      <c r="N47" s="5">
        <v>1</v>
      </c>
      <c r="O47" s="5">
        <v>0</v>
      </c>
      <c r="P47" s="5">
        <v>0</v>
      </c>
      <c r="Q47" s="5">
        <v>0</v>
      </c>
      <c r="R47" s="5">
        <v>0</v>
      </c>
      <c r="Z47" s="5">
        <v>1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</row>
    <row r="48" spans="2:36" x14ac:dyDescent="0.25">
      <c r="B48" s="5">
        <v>0.19047619047619047</v>
      </c>
      <c r="C48" s="5">
        <v>0.52380952380952384</v>
      </c>
      <c r="D48" s="5">
        <v>0.2857142857142857</v>
      </c>
      <c r="E48" s="5">
        <v>0</v>
      </c>
      <c r="F48" s="5">
        <v>0</v>
      </c>
      <c r="N48" s="5">
        <v>4.7619047619047616E-2</v>
      </c>
      <c r="O48" s="5">
        <v>0.5714285714285714</v>
      </c>
      <c r="P48" s="5">
        <v>0.38095238095238093</v>
      </c>
      <c r="Q48" s="5">
        <v>0</v>
      </c>
      <c r="R48" s="5">
        <v>0</v>
      </c>
      <c r="Z48" s="5">
        <v>0.66666666666666663</v>
      </c>
      <c r="AA48" s="5">
        <v>0.33333333333333331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</row>
    <row r="49" spans="2:36" x14ac:dyDescent="0.25">
      <c r="B49" s="5">
        <v>8.8235294117647065E-2</v>
      </c>
      <c r="C49" s="5">
        <v>0.67647058823529416</v>
      </c>
      <c r="D49" s="5">
        <v>0.20588235294117646</v>
      </c>
      <c r="E49" s="5">
        <v>0</v>
      </c>
      <c r="F49" s="5">
        <v>2.9411764705882353E-2</v>
      </c>
      <c r="N49" s="5">
        <v>0.17647058823529413</v>
      </c>
      <c r="O49" s="5">
        <v>0.61764705882352944</v>
      </c>
      <c r="P49" s="5">
        <v>0.20588235294117646</v>
      </c>
      <c r="Q49" s="5">
        <v>0</v>
      </c>
      <c r="R49" s="5">
        <v>0</v>
      </c>
      <c r="Z49" s="5">
        <v>0</v>
      </c>
      <c r="AA49" s="5">
        <v>1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</row>
    <row r="50" spans="2:36" x14ac:dyDescent="0.25">
      <c r="B50" s="5">
        <v>0.125</v>
      </c>
      <c r="C50" s="5">
        <v>0.75</v>
      </c>
      <c r="D50" s="5">
        <v>6.25E-2</v>
      </c>
      <c r="E50" s="5">
        <v>0</v>
      </c>
      <c r="F50" s="5">
        <v>6.25E-2</v>
      </c>
      <c r="N50" s="5">
        <v>0</v>
      </c>
      <c r="O50" s="5">
        <v>0.6875</v>
      </c>
      <c r="P50" s="5">
        <v>0.3125</v>
      </c>
      <c r="Q50" s="5">
        <v>0</v>
      </c>
      <c r="R50" s="5">
        <v>0</v>
      </c>
      <c r="Z50" s="5">
        <v>0.33333333333333331</v>
      </c>
      <c r="AA50" s="5">
        <v>0.33333333333333331</v>
      </c>
      <c r="AB50" s="5">
        <v>0.33333333333333331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</row>
    <row r="51" spans="2:36" x14ac:dyDescent="0.25">
      <c r="B51" s="5">
        <v>0</v>
      </c>
      <c r="C51" s="5">
        <v>0.66666666666666663</v>
      </c>
      <c r="D51" s="5">
        <v>0.16666666666666666</v>
      </c>
      <c r="E51" s="5">
        <v>0</v>
      </c>
      <c r="F51" s="5">
        <v>0.16666666666666666</v>
      </c>
      <c r="N51" s="5">
        <v>0.33333333333333331</v>
      </c>
      <c r="O51" s="5">
        <v>0.16666666666666666</v>
      </c>
      <c r="P51" s="5">
        <v>0.5</v>
      </c>
      <c r="Q51" s="5">
        <v>0</v>
      </c>
      <c r="R51" s="5">
        <v>0</v>
      </c>
      <c r="Z51" s="5">
        <v>0.41176470588235292</v>
      </c>
      <c r="AA51" s="5">
        <v>0.41176470588235292</v>
      </c>
      <c r="AB51" s="5">
        <v>0.17647058823529413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</row>
    <row r="52" spans="2:36" x14ac:dyDescent="0.25">
      <c r="Z52" s="5">
        <v>0.35294117647058826</v>
      </c>
      <c r="AA52" s="5">
        <v>0.47058823529411764</v>
      </c>
      <c r="AB52" s="5">
        <v>0.11764705882352941</v>
      </c>
      <c r="AC52" s="5">
        <v>5.8823529411764705E-2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</row>
    <row r="53" spans="2:36" x14ac:dyDescent="0.25">
      <c r="B53" s="5" t="s">
        <v>16</v>
      </c>
      <c r="N53" s="5" t="s">
        <v>16</v>
      </c>
      <c r="Z53" s="5">
        <v>0.4</v>
      </c>
      <c r="AA53" s="5">
        <v>0.46666666666666667</v>
      </c>
      <c r="AB53" s="5">
        <v>0</v>
      </c>
      <c r="AC53" s="5">
        <v>3.3333333333333333E-2</v>
      </c>
      <c r="AD53" s="5">
        <v>3.3333333333333333E-2</v>
      </c>
      <c r="AE53" s="5">
        <v>3.3333333333333333E-2</v>
      </c>
      <c r="AF53" s="5">
        <v>0</v>
      </c>
      <c r="AG53" s="5">
        <v>0</v>
      </c>
      <c r="AH53" s="5">
        <v>3.3333333333333333E-2</v>
      </c>
      <c r="AI53" s="5">
        <v>0</v>
      </c>
      <c r="AJ53" s="5">
        <v>0</v>
      </c>
    </row>
    <row r="54" spans="2:36" x14ac:dyDescent="0.25">
      <c r="B54" s="5">
        <v>0.81132075471698117</v>
      </c>
      <c r="C54" s="5">
        <v>1.8867924528301886E-2</v>
      </c>
      <c r="D54" s="5">
        <v>0.16981132075471697</v>
      </c>
      <c r="N54" s="5">
        <v>0.84905660377358494</v>
      </c>
      <c r="O54" s="5">
        <v>0.11320754716981132</v>
      </c>
      <c r="P54" s="5">
        <v>3.7735849056603772E-2</v>
      </c>
    </row>
    <row r="55" spans="2:36" x14ac:dyDescent="0.25">
      <c r="B55" s="5">
        <v>0.625</v>
      </c>
      <c r="C55" s="5">
        <v>6.25E-2</v>
      </c>
      <c r="D55" s="5">
        <v>0.3125</v>
      </c>
      <c r="N55" s="5">
        <v>0.75</v>
      </c>
      <c r="O55" s="5">
        <v>0.1875</v>
      </c>
      <c r="P55" s="5">
        <v>6.25E-2</v>
      </c>
      <c r="Z55" s="5" t="s">
        <v>163</v>
      </c>
    </row>
    <row r="56" spans="2:36" x14ac:dyDescent="0.25">
      <c r="B56" s="5">
        <v>0.33333333333333331</v>
      </c>
      <c r="C56" s="5">
        <v>0.33333333333333331</v>
      </c>
      <c r="D56" s="5">
        <v>0.33333333333333331</v>
      </c>
      <c r="N56" s="5">
        <v>0.55555555555555558</v>
      </c>
      <c r="O56" s="5">
        <v>0.33333333333333331</v>
      </c>
      <c r="P56" s="5">
        <v>0.1111111111111111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</row>
    <row r="57" spans="2:36" x14ac:dyDescent="0.25"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</row>
    <row r="58" spans="2:36" x14ac:dyDescent="0.25">
      <c r="B58" s="5" t="s">
        <v>17</v>
      </c>
      <c r="N58" s="5" t="s">
        <v>17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</row>
    <row r="59" spans="2:36" x14ac:dyDescent="0.25">
      <c r="B59" s="5">
        <v>0.67441860465116277</v>
      </c>
      <c r="C59" s="5">
        <v>0.23255813953488372</v>
      </c>
      <c r="D59" s="5">
        <v>9.3023255813953487E-2</v>
      </c>
      <c r="N59" s="5">
        <v>0.81395348837209303</v>
      </c>
      <c r="O59" s="5">
        <v>0.16279069767441862</v>
      </c>
      <c r="P59" s="5">
        <v>2.3255813953488372E-2</v>
      </c>
      <c r="Z59" s="5">
        <v>1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</row>
    <row r="60" spans="2:36" x14ac:dyDescent="0.25">
      <c r="B60" s="5">
        <v>0.56521739130434778</v>
      </c>
      <c r="C60" s="5">
        <v>0.13043478260869565</v>
      </c>
      <c r="D60" s="5">
        <v>0.30434782608695654</v>
      </c>
      <c r="N60" s="5">
        <v>0.69565217391304346</v>
      </c>
      <c r="O60" s="5">
        <v>0.17391304347826086</v>
      </c>
      <c r="P60" s="5">
        <v>0.13043478260869565</v>
      </c>
      <c r="Z60" s="5">
        <v>1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</row>
    <row r="61" spans="2:36" x14ac:dyDescent="0.25">
      <c r="B61" s="5">
        <v>0.33333333333333331</v>
      </c>
      <c r="C61" s="5">
        <v>0.33333333333333331</v>
      </c>
      <c r="D61" s="5">
        <v>0.33333333333333331</v>
      </c>
      <c r="N61" s="5">
        <v>0.58333333333333337</v>
      </c>
      <c r="O61" s="5">
        <v>0.41666666666666669</v>
      </c>
      <c r="P61" s="5">
        <v>0</v>
      </c>
      <c r="Z61" s="5">
        <v>0.66666666666666663</v>
      </c>
      <c r="AA61" s="5">
        <v>0.33333333333333331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</row>
    <row r="62" spans="2:36" x14ac:dyDescent="0.25">
      <c r="Z62" s="5">
        <v>0</v>
      </c>
      <c r="AA62" s="5">
        <v>1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</row>
    <row r="63" spans="2:36" x14ac:dyDescent="0.25">
      <c r="B63" s="5" t="s">
        <v>7</v>
      </c>
      <c r="N63" s="5" t="s">
        <v>7</v>
      </c>
      <c r="Z63" s="5">
        <v>0.33333333333333331</v>
      </c>
      <c r="AA63" s="5">
        <v>0.33333333333333331</v>
      </c>
      <c r="AB63" s="5">
        <v>0.33333333333333331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</row>
    <row r="64" spans="2:36" x14ac:dyDescent="0.25">
      <c r="B64" s="5">
        <v>0.36842105263157893</v>
      </c>
      <c r="C64" s="5">
        <v>0.42105263157894735</v>
      </c>
      <c r="D64" s="5">
        <v>0.21052631578947367</v>
      </c>
      <c r="N64" s="5">
        <v>0.42105263157894735</v>
      </c>
      <c r="O64" s="5">
        <v>0.47368421052631576</v>
      </c>
      <c r="P64" s="5">
        <v>0.10526315789473684</v>
      </c>
      <c r="Z64" s="5">
        <v>0.47058823529411764</v>
      </c>
      <c r="AA64" s="5">
        <v>0.41176470588235292</v>
      </c>
      <c r="AB64" s="5">
        <v>0.11764705882352941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</row>
    <row r="65" spans="2:36" x14ac:dyDescent="0.25">
      <c r="B65" s="5">
        <v>0.32</v>
      </c>
      <c r="C65" s="5">
        <v>0.4</v>
      </c>
      <c r="D65" s="5">
        <v>0.28000000000000003</v>
      </c>
      <c r="N65" s="5">
        <v>0.36</v>
      </c>
      <c r="O65" s="5">
        <v>0.52</v>
      </c>
      <c r="P65" s="5">
        <v>0.12</v>
      </c>
      <c r="Z65" s="5">
        <v>0.35294117647058826</v>
      </c>
      <c r="AA65" s="5">
        <v>0.52941176470588236</v>
      </c>
      <c r="AB65" s="5">
        <v>5.8823529411764705E-2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5.8823529411764705E-2</v>
      </c>
      <c r="AI65" s="5">
        <v>0</v>
      </c>
      <c r="AJ65" s="5">
        <v>0</v>
      </c>
    </row>
    <row r="66" spans="2:36" x14ac:dyDescent="0.25">
      <c r="B66" s="5">
        <v>0.38235294117647056</v>
      </c>
      <c r="C66" s="5">
        <v>0.23529411764705882</v>
      </c>
      <c r="D66" s="5">
        <v>0.38235294117647056</v>
      </c>
      <c r="N66" s="5">
        <v>0.3235294117647059</v>
      </c>
      <c r="O66" s="5">
        <v>0.58823529411764708</v>
      </c>
      <c r="P66" s="5">
        <v>8.8235294117647065E-2</v>
      </c>
      <c r="Z66" s="5">
        <v>0.4</v>
      </c>
      <c r="AA66" s="5">
        <v>0.36666666666666664</v>
      </c>
      <c r="AB66" s="5">
        <v>0.13333333333333333</v>
      </c>
      <c r="AC66" s="5">
        <v>3.3333333333333333E-2</v>
      </c>
      <c r="AD66" s="5">
        <v>0</v>
      </c>
      <c r="AE66" s="5">
        <v>0</v>
      </c>
      <c r="AF66" s="5">
        <v>3.3333333333333333E-2</v>
      </c>
      <c r="AG66" s="5">
        <v>0</v>
      </c>
      <c r="AH66" s="5">
        <v>3.3333333333333333E-2</v>
      </c>
      <c r="AI66" s="5">
        <v>0</v>
      </c>
      <c r="AJ66" s="5">
        <v>0</v>
      </c>
    </row>
    <row r="68" spans="2:36" x14ac:dyDescent="0.25">
      <c r="B68" s="5" t="s">
        <v>8</v>
      </c>
      <c r="N68" s="5" t="s">
        <v>8</v>
      </c>
      <c r="Z68" s="5" t="s">
        <v>162</v>
      </c>
    </row>
    <row r="69" spans="2:36" x14ac:dyDescent="0.25">
      <c r="B69" s="5">
        <v>0.16666666666666666</v>
      </c>
      <c r="C69" s="5">
        <v>0.33333333333333331</v>
      </c>
      <c r="D69" s="5">
        <v>0.5</v>
      </c>
      <c r="N69" s="5">
        <v>0.16666666666666666</v>
      </c>
      <c r="O69" s="5">
        <v>0.66666666666666663</v>
      </c>
      <c r="P69" s="5">
        <v>0.16666666666666666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</row>
    <row r="70" spans="2:36" x14ac:dyDescent="0.25">
      <c r="B70" s="5">
        <v>0</v>
      </c>
      <c r="C70" s="5">
        <v>0.33333333333333331</v>
      </c>
      <c r="D70" s="5">
        <v>0.66666666666666663</v>
      </c>
      <c r="N70" s="5">
        <v>0.33333333333333331</v>
      </c>
      <c r="O70" s="5">
        <v>0.44444444444444442</v>
      </c>
      <c r="P70" s="5">
        <v>0.22222222222222221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</row>
    <row r="71" spans="2:36" x14ac:dyDescent="0.25">
      <c r="B71" s="5">
        <v>9.5238095238095233E-2</v>
      </c>
      <c r="C71" s="5">
        <v>0.23809523809523808</v>
      </c>
      <c r="D71" s="5">
        <v>0.66666666666666663</v>
      </c>
      <c r="N71" s="5">
        <v>0.2857142857142857</v>
      </c>
      <c r="O71" s="5">
        <v>0.47619047619047616</v>
      </c>
      <c r="P71" s="5">
        <v>0.23809523809523808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</row>
    <row r="72" spans="2:36" x14ac:dyDescent="0.25">
      <c r="Z72" s="5">
        <v>1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</row>
    <row r="73" spans="2:36" x14ac:dyDescent="0.25">
      <c r="B73" s="5" t="s">
        <v>10</v>
      </c>
      <c r="N73" s="5" t="s">
        <v>10</v>
      </c>
      <c r="Z73" s="5">
        <v>1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</row>
    <row r="74" spans="2:36" x14ac:dyDescent="0.25">
      <c r="B74" s="5">
        <v>0.8392857142857143</v>
      </c>
      <c r="C74" s="5">
        <v>0</v>
      </c>
      <c r="D74" s="5">
        <v>0.10714285714285714</v>
      </c>
      <c r="E74" s="5">
        <v>5.3571428571428568E-2</v>
      </c>
      <c r="N74" s="5">
        <v>0.8392857142857143</v>
      </c>
      <c r="O74" s="5">
        <v>0.125</v>
      </c>
      <c r="P74" s="5">
        <v>3.5714285714285712E-2</v>
      </c>
      <c r="Q74" s="5">
        <v>0</v>
      </c>
      <c r="Z74" s="5">
        <v>0</v>
      </c>
      <c r="AA74" s="5">
        <v>0.66666666666666663</v>
      </c>
      <c r="AB74" s="5">
        <v>0.33333333333333331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</row>
    <row r="75" spans="2:36" x14ac:dyDescent="0.25">
      <c r="B75" s="5">
        <v>0.63636363636363635</v>
      </c>
      <c r="C75" s="5">
        <v>9.0909090909090912E-2</v>
      </c>
      <c r="D75" s="5">
        <v>0.18181818181818182</v>
      </c>
      <c r="E75" s="5">
        <v>9.0909090909090912E-2</v>
      </c>
      <c r="N75" s="5">
        <v>0.54545454545454541</v>
      </c>
      <c r="O75" s="5">
        <v>0.18181818181818182</v>
      </c>
      <c r="P75" s="5">
        <v>0.27272727272727271</v>
      </c>
      <c r="Q75" s="5">
        <v>0</v>
      </c>
      <c r="Z75" s="5">
        <v>0</v>
      </c>
      <c r="AA75" s="5">
        <v>1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</row>
    <row r="76" spans="2:36" x14ac:dyDescent="0.25">
      <c r="B76" s="5">
        <v>0.44444444444444442</v>
      </c>
      <c r="C76" s="5">
        <v>0.22222222222222221</v>
      </c>
      <c r="D76" s="5">
        <v>0.1111111111111111</v>
      </c>
      <c r="E76" s="5">
        <v>0.22222222222222221</v>
      </c>
      <c r="N76" s="5">
        <v>0.55555555555555558</v>
      </c>
      <c r="O76" s="5">
        <v>0.33333333333333331</v>
      </c>
      <c r="P76" s="5">
        <v>0</v>
      </c>
      <c r="Q76" s="5">
        <v>0.1111111111111111</v>
      </c>
      <c r="Z76" s="5">
        <v>0.33333333333333331</v>
      </c>
      <c r="AA76" s="5">
        <v>0.66666666666666663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</row>
    <row r="77" spans="2:36" x14ac:dyDescent="0.25">
      <c r="B77" s="5">
        <v>0.5</v>
      </c>
      <c r="C77" s="5">
        <v>0</v>
      </c>
      <c r="D77" s="5">
        <v>0.5</v>
      </c>
      <c r="E77" s="5">
        <v>0</v>
      </c>
      <c r="N77" s="5">
        <v>1</v>
      </c>
      <c r="O77" s="5">
        <v>0</v>
      </c>
      <c r="P77" s="5">
        <v>0</v>
      </c>
      <c r="Q77" s="5">
        <v>0</v>
      </c>
      <c r="Z77" s="5">
        <v>0.47058823529411764</v>
      </c>
      <c r="AA77" s="5">
        <v>0.29411764705882354</v>
      </c>
      <c r="AB77" s="5">
        <v>0.23529411764705882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</row>
    <row r="78" spans="2:36" x14ac:dyDescent="0.25">
      <c r="Z78" s="5">
        <v>0.29411764705882354</v>
      </c>
      <c r="AA78" s="5">
        <v>0.6470588235294118</v>
      </c>
      <c r="AB78" s="5">
        <v>0</v>
      </c>
      <c r="AC78" s="5">
        <v>5.8823529411764705E-2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</row>
    <row r="79" spans="2:36" x14ac:dyDescent="0.25">
      <c r="Z79" s="5">
        <v>0.4</v>
      </c>
      <c r="AA79" s="5">
        <v>0.43333333333333335</v>
      </c>
      <c r="AB79" s="5">
        <v>0.1</v>
      </c>
      <c r="AC79" s="5">
        <v>6.6666666666666666E-2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</row>
  </sheetData>
  <mergeCells count="2">
    <mergeCell ref="B1:K1"/>
    <mergeCell ref="N1:W1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92D050"/>
  </sheetPr>
  <dimension ref="B1:AP79"/>
  <sheetViews>
    <sheetView showGridLines="0" workbookViewId="0">
      <selection activeCell="B2" sqref="B1:AP1048576"/>
    </sheetView>
  </sheetViews>
  <sheetFormatPr defaultRowHeight="15" x14ac:dyDescent="0.25"/>
  <cols>
    <col min="1" max="1" width="2.42578125" customWidth="1"/>
    <col min="2" max="36" width="4.28515625" style="5" customWidth="1"/>
    <col min="37" max="42" width="4.28515625" customWidth="1"/>
  </cols>
  <sheetData>
    <row r="1" spans="2:42" x14ac:dyDescent="0.25">
      <c r="B1" s="203" t="s">
        <v>59</v>
      </c>
      <c r="C1" s="203"/>
      <c r="D1" s="203"/>
      <c r="E1" s="203"/>
      <c r="F1" s="203"/>
      <c r="G1" s="203"/>
      <c r="H1" s="203"/>
      <c r="I1" s="203"/>
      <c r="J1" s="203"/>
      <c r="K1" s="203"/>
      <c r="N1" s="203" t="s">
        <v>60</v>
      </c>
      <c r="O1" s="203"/>
      <c r="P1" s="203"/>
      <c r="Q1" s="203"/>
      <c r="R1" s="203"/>
      <c r="S1" s="203"/>
      <c r="T1" s="203"/>
      <c r="U1" s="203"/>
      <c r="V1" s="203"/>
      <c r="W1" s="203"/>
    </row>
    <row r="2" spans="2:42" x14ac:dyDescent="0.25">
      <c r="B2" s="5" t="s">
        <v>0</v>
      </c>
      <c r="N2" s="5" t="s">
        <v>0</v>
      </c>
    </row>
    <row r="3" spans="2:42" x14ac:dyDescent="0.25">
      <c r="B3" s="5">
        <v>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N3" s="5">
        <v>0.75862068965517238</v>
      </c>
      <c r="O3" s="5">
        <v>0.20689655172413793</v>
      </c>
      <c r="P3" s="5">
        <v>3.4482758620689655E-2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Z3" s="5" t="s">
        <v>158</v>
      </c>
    </row>
    <row r="4" spans="2:42" x14ac:dyDescent="0.25">
      <c r="B4" s="5">
        <v>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N4" s="5">
        <v>1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Z4" s="5">
        <v>0.89655172413793105</v>
      </c>
      <c r="AA4" s="5">
        <v>6.8965517241379309E-2</v>
      </c>
      <c r="AB4" s="5">
        <v>3.4482758620689655E-2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L4" s="5"/>
      <c r="AM4" s="5" t="s">
        <v>164</v>
      </c>
      <c r="AN4" s="5" t="s">
        <v>165</v>
      </c>
      <c r="AO4" s="5" t="s">
        <v>166</v>
      </c>
      <c r="AP4" s="5" t="s">
        <v>167</v>
      </c>
    </row>
    <row r="5" spans="2:42" x14ac:dyDescent="0.25">
      <c r="B5" s="5">
        <v>0.75</v>
      </c>
      <c r="C5" s="5">
        <v>0.125</v>
      </c>
      <c r="D5" s="5">
        <v>0.125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N5" s="5">
        <v>0.625</v>
      </c>
      <c r="O5" s="5">
        <v>0.25</v>
      </c>
      <c r="P5" s="5">
        <v>0.125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Z5" s="5">
        <v>0</v>
      </c>
      <c r="AA5" s="5">
        <v>1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L5" s="5">
        <v>1</v>
      </c>
      <c r="AM5" s="5">
        <v>3.048780487804878E-2</v>
      </c>
      <c r="AN5" s="5">
        <v>6.4935064935064939E-3</v>
      </c>
      <c r="AO5" s="5">
        <v>5.9523809523809521E-3</v>
      </c>
      <c r="AP5" s="5">
        <v>6.41025641025641E-3</v>
      </c>
    </row>
    <row r="6" spans="2:42" x14ac:dyDescent="0.25">
      <c r="B6" s="5">
        <v>0.4</v>
      </c>
      <c r="C6" s="5">
        <v>0.33333333333333331</v>
      </c>
      <c r="D6" s="5">
        <v>0.2</v>
      </c>
      <c r="E6" s="5">
        <v>6.6666666666666666E-2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N6" s="5">
        <v>0.53333333333333333</v>
      </c>
      <c r="O6" s="5">
        <v>0.26666666666666666</v>
      </c>
      <c r="P6" s="5">
        <v>0.2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Z6" s="5">
        <v>0.875</v>
      </c>
      <c r="AA6" s="5">
        <v>0</v>
      </c>
      <c r="AB6" s="5">
        <v>0.125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L6" s="5">
        <v>2</v>
      </c>
      <c r="AM6" s="5">
        <v>0.43902439024390244</v>
      </c>
      <c r="AN6" s="5">
        <v>0.20779220779220781</v>
      </c>
      <c r="AO6" s="5">
        <v>0</v>
      </c>
      <c r="AP6" s="5">
        <v>0</v>
      </c>
    </row>
    <row r="7" spans="2:42" x14ac:dyDescent="0.25">
      <c r="B7" s="5">
        <v>0.3888888888888889</v>
      </c>
      <c r="C7" s="5">
        <v>0.44444444444444442</v>
      </c>
      <c r="D7" s="5">
        <v>0.16666666666666666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N7" s="5">
        <v>0.55555555555555558</v>
      </c>
      <c r="O7" s="5">
        <v>0.22222222222222221</v>
      </c>
      <c r="P7" s="5">
        <v>0.22222222222222221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Z7" s="5">
        <v>0.66666666666666663</v>
      </c>
      <c r="AA7" s="5">
        <v>0.2</v>
      </c>
      <c r="AB7" s="5">
        <v>0.13333333333333333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L7" s="5">
        <v>3</v>
      </c>
      <c r="AM7" s="5">
        <v>5.4878048780487805E-2</v>
      </c>
      <c r="AN7" s="5">
        <v>6.4935064935064929E-2</v>
      </c>
      <c r="AO7" s="5">
        <v>0.11904761904761904</v>
      </c>
      <c r="AP7" s="5">
        <v>7.6923076923076927E-2</v>
      </c>
    </row>
    <row r="8" spans="2:42" x14ac:dyDescent="0.25">
      <c r="B8" s="5">
        <v>0</v>
      </c>
      <c r="C8" s="5">
        <v>0.6</v>
      </c>
      <c r="D8" s="5">
        <v>0.4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N8" s="5">
        <v>0.6</v>
      </c>
      <c r="O8" s="5">
        <v>0.4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Z8" s="5">
        <v>0.83333333333333337</v>
      </c>
      <c r="AA8" s="5">
        <v>5.5555555555555552E-2</v>
      </c>
      <c r="AB8" s="5">
        <v>0.1111111111111111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L8" s="5">
        <v>4</v>
      </c>
      <c r="AM8" s="5">
        <v>0.29878048780487804</v>
      </c>
      <c r="AN8" s="5">
        <v>0.33766233766233766</v>
      </c>
      <c r="AO8" s="5">
        <v>0.36904761904761907</v>
      </c>
      <c r="AP8" s="5">
        <v>0.25</v>
      </c>
    </row>
    <row r="9" spans="2:42" x14ac:dyDescent="0.25"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s="5">
        <v>1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L9" s="5">
        <v>5</v>
      </c>
      <c r="AM9" s="5">
        <v>0.17682926829268292</v>
      </c>
      <c r="AN9" s="5">
        <v>0.38311688311688313</v>
      </c>
      <c r="AO9" s="5">
        <v>0.50595238095238093</v>
      </c>
      <c r="AP9" s="5">
        <v>0.66666666666666663</v>
      </c>
    </row>
    <row r="10" spans="2:42" x14ac:dyDescent="0.25"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</row>
    <row r="11" spans="2:42" x14ac:dyDescent="0.25">
      <c r="B11" s="5">
        <v>0</v>
      </c>
      <c r="C11" s="5">
        <v>1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N11" s="5">
        <v>1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</row>
    <row r="12" spans="2:42" x14ac:dyDescent="0.25"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 s="5">
        <v>1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</row>
    <row r="13" spans="2:42" x14ac:dyDescent="0.25">
      <c r="B13" s="5">
        <v>1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N13" s="5">
        <v>1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</row>
    <row r="14" spans="2:42" x14ac:dyDescent="0.25">
      <c r="Z14" s="5">
        <v>1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</row>
    <row r="15" spans="2:42" x14ac:dyDescent="0.25">
      <c r="B15" s="5" t="s">
        <v>1</v>
      </c>
      <c r="N15" s="5" t="s">
        <v>1</v>
      </c>
    </row>
    <row r="16" spans="2:42" x14ac:dyDescent="0.25"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 s="5" t="s">
        <v>159</v>
      </c>
    </row>
    <row r="17" spans="2:36" x14ac:dyDescent="0.25"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 s="5">
        <v>0.62068965517241381</v>
      </c>
      <c r="AA17" s="5">
        <v>0.27586206896551724</v>
      </c>
      <c r="AB17" s="5">
        <v>0.10344827586206896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</row>
    <row r="18" spans="2:36" x14ac:dyDescent="0.25"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 s="5">
        <v>0</v>
      </c>
      <c r="AA18" s="5">
        <v>0</v>
      </c>
      <c r="AB18" s="5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</row>
    <row r="19" spans="2:36" x14ac:dyDescent="0.25">
      <c r="B19" s="5">
        <v>0</v>
      </c>
      <c r="C19" s="5">
        <v>0</v>
      </c>
      <c r="D19" s="5">
        <v>0</v>
      </c>
      <c r="E19" s="5">
        <v>0</v>
      </c>
      <c r="F19" s="5">
        <v>1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N19" s="5">
        <v>0</v>
      </c>
      <c r="O19" s="5">
        <v>0</v>
      </c>
      <c r="P19" s="5">
        <v>1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 s="5">
        <v>0.5</v>
      </c>
      <c r="AA19" s="5">
        <v>0.375</v>
      </c>
      <c r="AB19" s="5">
        <v>0.125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</row>
    <row r="20" spans="2:36" x14ac:dyDescent="0.25">
      <c r="B20" s="5">
        <v>0</v>
      </c>
      <c r="C20" s="5">
        <v>0</v>
      </c>
      <c r="D20" s="5">
        <v>1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N20" s="5">
        <v>1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 s="5">
        <v>0.6</v>
      </c>
      <c r="AA20" s="5">
        <v>0.26666666666666666</v>
      </c>
      <c r="AB20" s="5">
        <v>0.13333333333333333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</row>
    <row r="21" spans="2:36" x14ac:dyDescent="0.25">
      <c r="B21" s="5">
        <v>0.66666666666666663</v>
      </c>
      <c r="C21" s="5">
        <v>0</v>
      </c>
      <c r="D21" s="5">
        <v>0.33333333333333331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N21" s="5">
        <v>0.66666666666666663</v>
      </c>
      <c r="O21" s="5">
        <v>0.33333333333333331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 s="5">
        <v>0.72222222222222221</v>
      </c>
      <c r="AA21" s="5">
        <v>0.27777777777777779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</row>
    <row r="22" spans="2:36" x14ac:dyDescent="0.25">
      <c r="B22" s="5">
        <v>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N22" s="5">
        <v>0</v>
      </c>
      <c r="O22" s="5">
        <v>1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 s="5">
        <v>0.8</v>
      </c>
      <c r="AA22" s="5">
        <v>0.2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</row>
    <row r="23" spans="2:36" x14ac:dyDescent="0.25">
      <c r="B23" s="5">
        <v>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N23" s="5">
        <v>0.66666666666666663</v>
      </c>
      <c r="O23" s="5">
        <v>0.33333333333333331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</row>
    <row r="24" spans="2:36" x14ac:dyDescent="0.25">
      <c r="B24" s="5">
        <v>0.29411764705882354</v>
      </c>
      <c r="C24" s="5">
        <v>0.41176470588235292</v>
      </c>
      <c r="D24" s="5">
        <v>0.23529411764705882</v>
      </c>
      <c r="E24" s="5">
        <v>5.8823529411764705E-2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N24" s="5">
        <v>0.52941176470588236</v>
      </c>
      <c r="O24" s="5">
        <v>0.23529411764705882</v>
      </c>
      <c r="P24" s="5">
        <v>0.11764705882352941</v>
      </c>
      <c r="Q24" s="5">
        <v>0.11764705882352941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</row>
    <row r="25" spans="2:36" x14ac:dyDescent="0.25">
      <c r="B25" s="5">
        <v>0.29411764705882354</v>
      </c>
      <c r="C25" s="5">
        <v>0.17647058823529413</v>
      </c>
      <c r="D25" s="5">
        <v>0.35294117647058826</v>
      </c>
      <c r="E25" s="5">
        <v>0.17647058823529413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N25" s="5">
        <v>0.29411764705882354</v>
      </c>
      <c r="O25" s="5">
        <v>0.58823529411764708</v>
      </c>
      <c r="P25" s="5">
        <v>5.8823529411764705E-2</v>
      </c>
      <c r="Q25" s="5">
        <v>5.8823529411764705E-2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 s="5">
        <v>1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</row>
    <row r="26" spans="2:36" x14ac:dyDescent="0.25">
      <c r="B26" s="5">
        <v>0.43333333333333335</v>
      </c>
      <c r="C26" s="5">
        <v>0.23333333333333334</v>
      </c>
      <c r="D26" s="5">
        <v>0.13333333333333333</v>
      </c>
      <c r="E26" s="5">
        <v>0.13333333333333333</v>
      </c>
      <c r="F26" s="5">
        <v>6.6666666666666666E-2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N26" s="5">
        <v>0.46666666666666667</v>
      </c>
      <c r="O26" s="5">
        <v>0.3</v>
      </c>
      <c r="P26" s="5">
        <v>0.13333333333333333</v>
      </c>
      <c r="Q26" s="5">
        <v>0</v>
      </c>
      <c r="R26" s="5">
        <v>3.3333333333333333E-2</v>
      </c>
      <c r="S26" s="5">
        <v>3.3333333333333333E-2</v>
      </c>
      <c r="T26" s="5">
        <v>3.3333333333333333E-2</v>
      </c>
      <c r="U26" s="5">
        <v>0</v>
      </c>
      <c r="V26" s="5">
        <v>0</v>
      </c>
      <c r="W26" s="5">
        <v>0</v>
      </c>
      <c r="X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</row>
    <row r="27" spans="2:36" x14ac:dyDescent="0.25">
      <c r="Z27" s="5">
        <v>1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</row>
    <row r="28" spans="2:36" x14ac:dyDescent="0.25">
      <c r="B28" s="5" t="s">
        <v>3</v>
      </c>
      <c r="N28" s="5" t="s">
        <v>3</v>
      </c>
    </row>
    <row r="29" spans="2:36" x14ac:dyDescent="0.25">
      <c r="B29" s="5">
        <v>7.1428571428571425E-2</v>
      </c>
      <c r="C29" s="5">
        <v>0.7142857142857143</v>
      </c>
      <c r="D29" s="5">
        <v>0.21428571428571427</v>
      </c>
      <c r="E29" s="5">
        <v>0</v>
      </c>
      <c r="N29" s="5">
        <v>0</v>
      </c>
      <c r="O29" s="5">
        <v>0.42857142857142855</v>
      </c>
      <c r="P29" s="5">
        <v>0.42857142857142855</v>
      </c>
      <c r="Q29" s="5">
        <v>0.14285714285714285</v>
      </c>
      <c r="Z29" s="5" t="s">
        <v>160</v>
      </c>
    </row>
    <row r="30" spans="2:36" x14ac:dyDescent="0.25">
      <c r="B30" s="5">
        <v>0</v>
      </c>
      <c r="C30" s="5">
        <v>0.54347826086956519</v>
      </c>
      <c r="D30" s="5">
        <v>0.39130434782608697</v>
      </c>
      <c r="E30" s="5">
        <v>6.5217391304347824E-2</v>
      </c>
      <c r="N30" s="5">
        <v>0</v>
      </c>
      <c r="O30" s="5">
        <v>0.28260869565217389</v>
      </c>
      <c r="P30" s="5">
        <v>0.2608695652173913</v>
      </c>
      <c r="Q30" s="5">
        <v>0.45652173913043476</v>
      </c>
      <c r="Z30" s="5">
        <v>0.44827586206896552</v>
      </c>
      <c r="AA30" s="5">
        <v>0.31034482758620691</v>
      </c>
      <c r="AB30" s="5">
        <v>0.2413793103448276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</row>
    <row r="31" spans="2:36" x14ac:dyDescent="0.25">
      <c r="B31" s="5">
        <v>0</v>
      </c>
      <c r="C31" s="5">
        <v>0.27777777777777779</v>
      </c>
      <c r="D31" s="5">
        <v>0.61111111111111116</v>
      </c>
      <c r="E31" s="5">
        <v>0.1111111111111111</v>
      </c>
      <c r="N31" s="5">
        <v>0</v>
      </c>
      <c r="O31" s="5">
        <v>0.22222222222222221</v>
      </c>
      <c r="P31" s="5">
        <v>0.3888888888888889</v>
      </c>
      <c r="Q31" s="5">
        <v>0.3888888888888889</v>
      </c>
      <c r="Z31" s="5">
        <v>0</v>
      </c>
      <c r="AA31" s="5">
        <v>1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</row>
    <row r="32" spans="2:36" x14ac:dyDescent="0.25">
      <c r="B32" s="5">
        <v>0</v>
      </c>
      <c r="C32" s="5">
        <v>0</v>
      </c>
      <c r="D32" s="5">
        <v>0</v>
      </c>
      <c r="E32" s="5">
        <v>0</v>
      </c>
      <c r="N32" s="5">
        <v>0</v>
      </c>
      <c r="O32" s="5">
        <v>0</v>
      </c>
      <c r="P32" s="5">
        <v>0</v>
      </c>
      <c r="Q32" s="5">
        <v>0</v>
      </c>
      <c r="Z32" s="5">
        <v>0.25</v>
      </c>
      <c r="AA32" s="5">
        <v>0.625</v>
      </c>
      <c r="AB32" s="5">
        <v>0.125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</row>
    <row r="33" spans="2:36" x14ac:dyDescent="0.25">
      <c r="Z33" s="5">
        <v>0.4</v>
      </c>
      <c r="AA33" s="5">
        <v>0.33333333333333331</v>
      </c>
      <c r="AB33" s="5">
        <v>0.13333333333333333</v>
      </c>
      <c r="AC33" s="5">
        <v>0.13333333333333333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</row>
    <row r="34" spans="2:36" x14ac:dyDescent="0.25">
      <c r="B34" s="5" t="s">
        <v>4</v>
      </c>
      <c r="N34" s="5" t="s">
        <v>4</v>
      </c>
      <c r="Z34" s="5">
        <v>0.44444444444444442</v>
      </c>
      <c r="AA34" s="5">
        <v>0.3888888888888889</v>
      </c>
      <c r="AB34" s="5">
        <v>0.1111111111111111</v>
      </c>
      <c r="AC34" s="5">
        <v>5.5555555555555552E-2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</row>
    <row r="35" spans="2:36" x14ac:dyDescent="0.25">
      <c r="B35" s="5">
        <v>0.1111111111111111</v>
      </c>
      <c r="C35" s="5">
        <v>0.22222222222222221</v>
      </c>
      <c r="D35" s="5">
        <v>0.66666666666666663</v>
      </c>
      <c r="E35" s="5">
        <v>0</v>
      </c>
      <c r="N35" s="5">
        <v>0</v>
      </c>
      <c r="O35" s="5">
        <v>0.22222222222222221</v>
      </c>
      <c r="P35" s="5">
        <v>0.55555555555555558</v>
      </c>
      <c r="Q35" s="5">
        <v>0.22222222222222221</v>
      </c>
      <c r="Z35" s="5">
        <v>0.8</v>
      </c>
      <c r="AA35" s="5">
        <v>0.2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</row>
    <row r="36" spans="2:36" x14ac:dyDescent="0.25">
      <c r="B36" s="5">
        <v>0</v>
      </c>
      <c r="C36" s="5">
        <v>0.56756756756756754</v>
      </c>
      <c r="D36" s="5">
        <v>0.3783783783783784</v>
      </c>
      <c r="E36" s="5">
        <v>5.4054054054054057E-2</v>
      </c>
      <c r="N36" s="5">
        <v>0</v>
      </c>
      <c r="O36" s="5">
        <v>0.27027027027027029</v>
      </c>
      <c r="P36" s="5">
        <v>0.24324324324324326</v>
      </c>
      <c r="Q36" s="5">
        <v>0.48648648648648651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</row>
    <row r="37" spans="2:36" x14ac:dyDescent="0.25">
      <c r="B37" s="5">
        <v>0</v>
      </c>
      <c r="C37" s="5">
        <v>0.23076923076923078</v>
      </c>
      <c r="D37" s="5">
        <v>0.57692307692307687</v>
      </c>
      <c r="E37" s="5">
        <v>0.19230769230769232</v>
      </c>
      <c r="N37" s="5">
        <v>0</v>
      </c>
      <c r="O37" s="5">
        <v>0.34615384615384615</v>
      </c>
      <c r="P37" s="5">
        <v>0.23076923076923078</v>
      </c>
      <c r="Q37" s="5">
        <v>0.42307692307692307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</row>
    <row r="38" spans="2:36" x14ac:dyDescent="0.25">
      <c r="B38" s="5">
        <v>0</v>
      </c>
      <c r="C38" s="5">
        <v>0</v>
      </c>
      <c r="D38" s="5">
        <v>0.66666666666666663</v>
      </c>
      <c r="E38" s="5">
        <v>0.33333333333333331</v>
      </c>
      <c r="N38" s="5">
        <v>0</v>
      </c>
      <c r="O38" s="5">
        <v>0.16666666666666666</v>
      </c>
      <c r="P38" s="5">
        <v>0.33333333333333331</v>
      </c>
      <c r="Q38" s="5">
        <v>0.5</v>
      </c>
      <c r="Z38" s="5">
        <v>1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</row>
    <row r="39" spans="2:36" x14ac:dyDescent="0.25"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</row>
    <row r="40" spans="2:36" x14ac:dyDescent="0.25">
      <c r="B40" s="5" t="s">
        <v>5</v>
      </c>
      <c r="N40" s="5" t="s">
        <v>5</v>
      </c>
      <c r="Z40" s="5">
        <v>1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</row>
    <row r="41" spans="2:36" x14ac:dyDescent="0.25">
      <c r="B41" s="5">
        <v>0.20833333333333334</v>
      </c>
      <c r="C41" s="5">
        <v>0.58333333333333337</v>
      </c>
      <c r="D41" s="5">
        <v>0.16666666666666666</v>
      </c>
      <c r="E41" s="5">
        <v>4.1666666666666664E-2</v>
      </c>
      <c r="N41" s="5">
        <v>0.125</v>
      </c>
      <c r="O41" s="5">
        <v>0.16666666666666666</v>
      </c>
      <c r="P41" s="5">
        <v>0.33333333333333331</v>
      </c>
      <c r="Q41" s="5">
        <v>0.375</v>
      </c>
    </row>
    <row r="42" spans="2:36" x14ac:dyDescent="0.25">
      <c r="B42" s="5">
        <v>4.1666666666666664E-2</v>
      </c>
      <c r="C42" s="5">
        <v>0.5625</v>
      </c>
      <c r="D42" s="5">
        <v>0.33333333333333331</v>
      </c>
      <c r="E42" s="5">
        <v>6.25E-2</v>
      </c>
      <c r="N42" s="5">
        <v>4.1666666666666664E-2</v>
      </c>
      <c r="O42" s="5">
        <v>0.125</v>
      </c>
      <c r="P42" s="5">
        <v>0.35416666666666669</v>
      </c>
      <c r="Q42" s="5">
        <v>0.47916666666666669</v>
      </c>
      <c r="Z42" s="5" t="s">
        <v>161</v>
      </c>
    </row>
    <row r="43" spans="2:36" x14ac:dyDescent="0.25">
      <c r="B43" s="5">
        <v>0</v>
      </c>
      <c r="C43" s="5">
        <v>0.2</v>
      </c>
      <c r="D43" s="5">
        <v>0.6</v>
      </c>
      <c r="E43" s="5">
        <v>0.2</v>
      </c>
      <c r="N43" s="5">
        <v>0</v>
      </c>
      <c r="O43" s="5">
        <v>0</v>
      </c>
      <c r="P43" s="5">
        <v>0.6</v>
      </c>
      <c r="Q43" s="5">
        <v>0.4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</row>
    <row r="44" spans="2:36" x14ac:dyDescent="0.25">
      <c r="B44" s="5">
        <v>0</v>
      </c>
      <c r="C44" s="5">
        <v>0</v>
      </c>
      <c r="D44" s="5">
        <v>0</v>
      </c>
      <c r="E44" s="5">
        <v>1</v>
      </c>
      <c r="N44" s="5">
        <v>0</v>
      </c>
      <c r="O44" s="5">
        <v>0</v>
      </c>
      <c r="P44" s="5">
        <v>1</v>
      </c>
      <c r="Q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</row>
    <row r="45" spans="2:36" x14ac:dyDescent="0.25"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</row>
    <row r="46" spans="2:36" x14ac:dyDescent="0.25">
      <c r="B46" s="5" t="s">
        <v>6</v>
      </c>
      <c r="N46" s="5" t="s">
        <v>6</v>
      </c>
      <c r="Z46" s="5">
        <v>0</v>
      </c>
      <c r="AA46" s="5">
        <v>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</row>
    <row r="47" spans="2:36" x14ac:dyDescent="0.25">
      <c r="B47" s="5">
        <v>1</v>
      </c>
      <c r="C47" s="5">
        <v>0</v>
      </c>
      <c r="D47" s="5">
        <v>0</v>
      </c>
      <c r="E47" s="5">
        <v>0</v>
      </c>
      <c r="F47" s="5">
        <v>0</v>
      </c>
      <c r="N47" s="5">
        <v>1</v>
      </c>
      <c r="O47" s="5">
        <v>0</v>
      </c>
      <c r="P47" s="5">
        <v>0</v>
      </c>
      <c r="Q47" s="5">
        <v>0</v>
      </c>
      <c r="R47" s="5">
        <v>0</v>
      </c>
      <c r="Z47" s="5">
        <v>1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</row>
    <row r="48" spans="2:36" x14ac:dyDescent="0.25">
      <c r="B48" s="5">
        <v>0.19047619047619047</v>
      </c>
      <c r="C48" s="5">
        <v>0.52380952380952384</v>
      </c>
      <c r="D48" s="5">
        <v>0.2857142857142857</v>
      </c>
      <c r="E48" s="5">
        <v>0</v>
      </c>
      <c r="F48" s="5">
        <v>0</v>
      </c>
      <c r="N48" s="5">
        <v>4.7619047619047616E-2</v>
      </c>
      <c r="O48" s="5">
        <v>0.5714285714285714</v>
      </c>
      <c r="P48" s="5">
        <v>0.38095238095238093</v>
      </c>
      <c r="Q48" s="5">
        <v>0</v>
      </c>
      <c r="R48" s="5">
        <v>0</v>
      </c>
      <c r="Z48" s="5">
        <v>0.66666666666666663</v>
      </c>
      <c r="AA48" s="5">
        <v>0.33333333333333331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</row>
    <row r="49" spans="2:36" x14ac:dyDescent="0.25">
      <c r="B49" s="5">
        <v>8.8235294117647065E-2</v>
      </c>
      <c r="C49" s="5">
        <v>0.67647058823529416</v>
      </c>
      <c r="D49" s="5">
        <v>0.20588235294117646</v>
      </c>
      <c r="E49" s="5">
        <v>0</v>
      </c>
      <c r="F49" s="5">
        <v>2.9411764705882353E-2</v>
      </c>
      <c r="N49" s="5">
        <v>0.17647058823529413</v>
      </c>
      <c r="O49" s="5">
        <v>0.61764705882352944</v>
      </c>
      <c r="P49" s="5">
        <v>0.20588235294117646</v>
      </c>
      <c r="Q49" s="5">
        <v>0</v>
      </c>
      <c r="R49" s="5">
        <v>0</v>
      </c>
      <c r="Z49" s="5">
        <v>0</v>
      </c>
      <c r="AA49" s="5">
        <v>1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</row>
    <row r="50" spans="2:36" x14ac:dyDescent="0.25">
      <c r="B50" s="5">
        <v>0.125</v>
      </c>
      <c r="C50" s="5">
        <v>0.75</v>
      </c>
      <c r="D50" s="5">
        <v>6.25E-2</v>
      </c>
      <c r="E50" s="5">
        <v>0</v>
      </c>
      <c r="F50" s="5">
        <v>6.25E-2</v>
      </c>
      <c r="N50" s="5">
        <v>0</v>
      </c>
      <c r="O50" s="5">
        <v>0.6875</v>
      </c>
      <c r="P50" s="5">
        <v>0.3125</v>
      </c>
      <c r="Q50" s="5">
        <v>0</v>
      </c>
      <c r="R50" s="5">
        <v>0</v>
      </c>
      <c r="Z50" s="5">
        <v>0.33333333333333331</v>
      </c>
      <c r="AA50" s="5">
        <v>0.33333333333333331</v>
      </c>
      <c r="AB50" s="5">
        <v>0.33333333333333331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</row>
    <row r="51" spans="2:36" x14ac:dyDescent="0.25">
      <c r="B51" s="5">
        <v>0</v>
      </c>
      <c r="C51" s="5">
        <v>0.66666666666666663</v>
      </c>
      <c r="D51" s="5">
        <v>0.16666666666666666</v>
      </c>
      <c r="E51" s="5">
        <v>0</v>
      </c>
      <c r="F51" s="5">
        <v>0.16666666666666666</v>
      </c>
      <c r="N51" s="5">
        <v>0.33333333333333331</v>
      </c>
      <c r="O51" s="5">
        <v>0.16666666666666666</v>
      </c>
      <c r="P51" s="5">
        <v>0.5</v>
      </c>
      <c r="Q51" s="5">
        <v>0</v>
      </c>
      <c r="R51" s="5">
        <v>0</v>
      </c>
      <c r="Z51" s="5">
        <v>0.41176470588235292</v>
      </c>
      <c r="AA51" s="5">
        <v>0.41176470588235292</v>
      </c>
      <c r="AB51" s="5">
        <v>0.17647058823529413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</row>
    <row r="52" spans="2:36" x14ac:dyDescent="0.25">
      <c r="Z52" s="5">
        <v>0.35294117647058826</v>
      </c>
      <c r="AA52" s="5">
        <v>0.47058823529411764</v>
      </c>
      <c r="AB52" s="5">
        <v>0.11764705882352941</v>
      </c>
      <c r="AC52" s="5">
        <v>5.8823529411764705E-2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</row>
    <row r="53" spans="2:36" x14ac:dyDescent="0.25">
      <c r="B53" s="5" t="s">
        <v>16</v>
      </c>
      <c r="N53" s="5" t="s">
        <v>16</v>
      </c>
      <c r="Z53" s="5">
        <v>0.4</v>
      </c>
      <c r="AA53" s="5">
        <v>0.46666666666666667</v>
      </c>
      <c r="AB53" s="5">
        <v>0</v>
      </c>
      <c r="AC53" s="5">
        <v>3.3333333333333333E-2</v>
      </c>
      <c r="AD53" s="5">
        <v>3.3333333333333333E-2</v>
      </c>
      <c r="AE53" s="5">
        <v>3.3333333333333333E-2</v>
      </c>
      <c r="AF53" s="5">
        <v>0</v>
      </c>
      <c r="AG53" s="5">
        <v>0</v>
      </c>
      <c r="AH53" s="5">
        <v>3.3333333333333333E-2</v>
      </c>
      <c r="AI53" s="5">
        <v>0</v>
      </c>
      <c r="AJ53" s="5">
        <v>0</v>
      </c>
    </row>
    <row r="54" spans="2:36" x14ac:dyDescent="0.25">
      <c r="B54" s="5">
        <v>0.81132075471698117</v>
      </c>
      <c r="C54" s="5">
        <v>1.8867924528301886E-2</v>
      </c>
      <c r="D54" s="5">
        <v>0.16981132075471697</v>
      </c>
      <c r="N54" s="5">
        <v>0.84905660377358494</v>
      </c>
      <c r="O54" s="5">
        <v>0.11320754716981132</v>
      </c>
      <c r="P54" s="5">
        <v>3.7735849056603772E-2</v>
      </c>
    </row>
    <row r="55" spans="2:36" x14ac:dyDescent="0.25">
      <c r="B55" s="5">
        <v>0.625</v>
      </c>
      <c r="C55" s="5">
        <v>6.25E-2</v>
      </c>
      <c r="D55" s="5">
        <v>0.3125</v>
      </c>
      <c r="N55" s="5">
        <v>0.75</v>
      </c>
      <c r="O55" s="5">
        <v>0.1875</v>
      </c>
      <c r="P55" s="5">
        <v>6.25E-2</v>
      </c>
      <c r="Z55" s="5" t="s">
        <v>163</v>
      </c>
    </row>
    <row r="56" spans="2:36" x14ac:dyDescent="0.25">
      <c r="B56" s="5">
        <v>0.33333333333333331</v>
      </c>
      <c r="C56" s="5">
        <v>0.33333333333333331</v>
      </c>
      <c r="D56" s="5">
        <v>0.33333333333333331</v>
      </c>
      <c r="N56" s="5">
        <v>0.55555555555555558</v>
      </c>
      <c r="O56" s="5">
        <v>0.33333333333333331</v>
      </c>
      <c r="P56" s="5">
        <v>0.1111111111111111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</row>
    <row r="57" spans="2:36" x14ac:dyDescent="0.25"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</row>
    <row r="58" spans="2:36" x14ac:dyDescent="0.25">
      <c r="B58" s="5" t="s">
        <v>17</v>
      </c>
      <c r="N58" s="5" t="s">
        <v>17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</row>
    <row r="59" spans="2:36" x14ac:dyDescent="0.25">
      <c r="B59" s="5">
        <v>0.67441860465116277</v>
      </c>
      <c r="C59" s="5">
        <v>0.23255813953488372</v>
      </c>
      <c r="D59" s="5">
        <v>9.3023255813953487E-2</v>
      </c>
      <c r="N59" s="5">
        <v>0.81395348837209303</v>
      </c>
      <c r="O59" s="5">
        <v>0.16279069767441862</v>
      </c>
      <c r="P59" s="5">
        <v>2.3255813953488372E-2</v>
      </c>
      <c r="Z59" s="5">
        <v>1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</row>
    <row r="60" spans="2:36" x14ac:dyDescent="0.25">
      <c r="B60" s="5">
        <v>0.56521739130434778</v>
      </c>
      <c r="C60" s="5">
        <v>0.13043478260869565</v>
      </c>
      <c r="D60" s="5">
        <v>0.30434782608695654</v>
      </c>
      <c r="N60" s="5">
        <v>0.69565217391304346</v>
      </c>
      <c r="O60" s="5">
        <v>0.17391304347826086</v>
      </c>
      <c r="P60" s="5">
        <v>0.13043478260869565</v>
      </c>
      <c r="Z60" s="5">
        <v>1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</row>
    <row r="61" spans="2:36" x14ac:dyDescent="0.25">
      <c r="B61" s="5">
        <v>0.33333333333333331</v>
      </c>
      <c r="C61" s="5">
        <v>0.33333333333333331</v>
      </c>
      <c r="D61" s="5">
        <v>0.33333333333333331</v>
      </c>
      <c r="N61" s="5">
        <v>0.58333333333333337</v>
      </c>
      <c r="O61" s="5">
        <v>0.41666666666666669</v>
      </c>
      <c r="P61" s="5">
        <v>0</v>
      </c>
      <c r="Z61" s="5">
        <v>0.66666666666666663</v>
      </c>
      <c r="AA61" s="5">
        <v>0.33333333333333331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</row>
    <row r="62" spans="2:36" x14ac:dyDescent="0.25">
      <c r="Z62" s="5">
        <v>0</v>
      </c>
      <c r="AA62" s="5">
        <v>1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</row>
    <row r="63" spans="2:36" x14ac:dyDescent="0.25">
      <c r="B63" s="5" t="s">
        <v>7</v>
      </c>
      <c r="N63" s="5" t="s">
        <v>7</v>
      </c>
      <c r="Z63" s="5">
        <v>0.33333333333333331</v>
      </c>
      <c r="AA63" s="5">
        <v>0.33333333333333331</v>
      </c>
      <c r="AB63" s="5">
        <v>0.33333333333333331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</row>
    <row r="64" spans="2:36" x14ac:dyDescent="0.25">
      <c r="B64" s="5">
        <v>0.36842105263157893</v>
      </c>
      <c r="C64" s="5">
        <v>0.42105263157894735</v>
      </c>
      <c r="D64" s="5">
        <v>0.21052631578947367</v>
      </c>
      <c r="N64" s="5">
        <v>0.42105263157894735</v>
      </c>
      <c r="O64" s="5">
        <v>0.47368421052631576</v>
      </c>
      <c r="P64" s="5">
        <v>0.10526315789473684</v>
      </c>
      <c r="Z64" s="5">
        <v>0.47058823529411764</v>
      </c>
      <c r="AA64" s="5">
        <v>0.41176470588235292</v>
      </c>
      <c r="AB64" s="5">
        <v>0.11764705882352941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</row>
    <row r="65" spans="2:36" x14ac:dyDescent="0.25">
      <c r="B65" s="5">
        <v>0.32</v>
      </c>
      <c r="C65" s="5">
        <v>0.4</v>
      </c>
      <c r="D65" s="5">
        <v>0.28000000000000003</v>
      </c>
      <c r="N65" s="5">
        <v>0.36</v>
      </c>
      <c r="O65" s="5">
        <v>0.52</v>
      </c>
      <c r="P65" s="5">
        <v>0.12</v>
      </c>
      <c r="Z65" s="5">
        <v>0.35294117647058826</v>
      </c>
      <c r="AA65" s="5">
        <v>0.52941176470588236</v>
      </c>
      <c r="AB65" s="5">
        <v>5.8823529411764705E-2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5.8823529411764705E-2</v>
      </c>
      <c r="AI65" s="5">
        <v>0</v>
      </c>
      <c r="AJ65" s="5">
        <v>0</v>
      </c>
    </row>
    <row r="66" spans="2:36" x14ac:dyDescent="0.25">
      <c r="B66" s="5">
        <v>0.38235294117647056</v>
      </c>
      <c r="C66" s="5">
        <v>0.23529411764705882</v>
      </c>
      <c r="D66" s="5">
        <v>0.38235294117647056</v>
      </c>
      <c r="N66" s="5">
        <v>0.3235294117647059</v>
      </c>
      <c r="O66" s="5">
        <v>0.58823529411764708</v>
      </c>
      <c r="P66" s="5">
        <v>8.8235294117647065E-2</v>
      </c>
      <c r="Z66" s="5">
        <v>0.4</v>
      </c>
      <c r="AA66" s="5">
        <v>0.36666666666666664</v>
      </c>
      <c r="AB66" s="5">
        <v>0.13333333333333333</v>
      </c>
      <c r="AC66" s="5">
        <v>3.3333333333333333E-2</v>
      </c>
      <c r="AD66" s="5">
        <v>0</v>
      </c>
      <c r="AE66" s="5">
        <v>0</v>
      </c>
      <c r="AF66" s="5">
        <v>3.3333333333333333E-2</v>
      </c>
      <c r="AG66" s="5">
        <v>0</v>
      </c>
      <c r="AH66" s="5">
        <v>3.3333333333333333E-2</v>
      </c>
      <c r="AI66" s="5">
        <v>0</v>
      </c>
      <c r="AJ66" s="5">
        <v>0</v>
      </c>
    </row>
    <row r="68" spans="2:36" x14ac:dyDescent="0.25">
      <c r="B68" s="5" t="s">
        <v>8</v>
      </c>
      <c r="N68" s="5" t="s">
        <v>8</v>
      </c>
      <c r="Z68" s="5" t="s">
        <v>162</v>
      </c>
    </row>
    <row r="69" spans="2:36" x14ac:dyDescent="0.25">
      <c r="B69" s="5">
        <v>0.16666666666666666</v>
      </c>
      <c r="C69" s="5">
        <v>0.33333333333333331</v>
      </c>
      <c r="D69" s="5">
        <v>0.5</v>
      </c>
      <c r="N69" s="5">
        <v>0.16666666666666666</v>
      </c>
      <c r="O69" s="5">
        <v>0.66666666666666663</v>
      </c>
      <c r="P69" s="5">
        <v>0.16666666666666666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</row>
    <row r="70" spans="2:36" x14ac:dyDescent="0.25">
      <c r="B70" s="5">
        <v>0</v>
      </c>
      <c r="C70" s="5">
        <v>0.33333333333333331</v>
      </c>
      <c r="D70" s="5">
        <v>0.66666666666666663</v>
      </c>
      <c r="N70" s="5">
        <v>0.33333333333333331</v>
      </c>
      <c r="O70" s="5">
        <v>0.44444444444444442</v>
      </c>
      <c r="P70" s="5">
        <v>0.22222222222222221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</row>
    <row r="71" spans="2:36" x14ac:dyDescent="0.25">
      <c r="B71" s="5">
        <v>9.5238095238095233E-2</v>
      </c>
      <c r="C71" s="5">
        <v>0.23809523809523808</v>
      </c>
      <c r="D71" s="5">
        <v>0.66666666666666663</v>
      </c>
      <c r="N71" s="5">
        <v>0.2857142857142857</v>
      </c>
      <c r="O71" s="5">
        <v>0.47619047619047616</v>
      </c>
      <c r="P71" s="5">
        <v>0.23809523809523808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</row>
    <row r="72" spans="2:36" x14ac:dyDescent="0.25">
      <c r="Z72" s="5">
        <v>1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</row>
    <row r="73" spans="2:36" x14ac:dyDescent="0.25">
      <c r="B73" s="5" t="s">
        <v>10</v>
      </c>
      <c r="N73" s="5" t="s">
        <v>10</v>
      </c>
      <c r="Z73" s="5">
        <v>1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</row>
    <row r="74" spans="2:36" x14ac:dyDescent="0.25">
      <c r="B74" s="5">
        <v>0.8392857142857143</v>
      </c>
      <c r="C74" s="5">
        <v>0</v>
      </c>
      <c r="D74" s="5">
        <v>0.10714285714285714</v>
      </c>
      <c r="E74" s="5">
        <v>5.3571428571428568E-2</v>
      </c>
      <c r="N74" s="5">
        <v>0.8392857142857143</v>
      </c>
      <c r="O74" s="5">
        <v>0.125</v>
      </c>
      <c r="P74" s="5">
        <v>3.5714285714285712E-2</v>
      </c>
      <c r="Q74" s="5">
        <v>0</v>
      </c>
      <c r="Z74" s="5">
        <v>0</v>
      </c>
      <c r="AA74" s="5">
        <v>0.66666666666666663</v>
      </c>
      <c r="AB74" s="5">
        <v>0.33333333333333331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</row>
    <row r="75" spans="2:36" x14ac:dyDescent="0.25">
      <c r="B75" s="5">
        <v>0.63636363636363635</v>
      </c>
      <c r="C75" s="5">
        <v>9.0909090909090912E-2</v>
      </c>
      <c r="D75" s="5">
        <v>0.18181818181818182</v>
      </c>
      <c r="E75" s="5">
        <v>9.0909090909090912E-2</v>
      </c>
      <c r="N75" s="5">
        <v>0.54545454545454541</v>
      </c>
      <c r="O75" s="5">
        <v>0.18181818181818182</v>
      </c>
      <c r="P75" s="5">
        <v>0.27272727272727271</v>
      </c>
      <c r="Q75" s="5">
        <v>0</v>
      </c>
      <c r="Z75" s="5">
        <v>0</v>
      </c>
      <c r="AA75" s="5">
        <v>1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</row>
    <row r="76" spans="2:36" x14ac:dyDescent="0.25">
      <c r="B76" s="5">
        <v>0.44444444444444442</v>
      </c>
      <c r="C76" s="5">
        <v>0.22222222222222221</v>
      </c>
      <c r="D76" s="5">
        <v>0.1111111111111111</v>
      </c>
      <c r="E76" s="5">
        <v>0.22222222222222221</v>
      </c>
      <c r="N76" s="5">
        <v>0.55555555555555558</v>
      </c>
      <c r="O76" s="5">
        <v>0.33333333333333331</v>
      </c>
      <c r="P76" s="5">
        <v>0</v>
      </c>
      <c r="Q76" s="5">
        <v>0.1111111111111111</v>
      </c>
      <c r="Z76" s="5">
        <v>0.33333333333333331</v>
      </c>
      <c r="AA76" s="5">
        <v>0.66666666666666663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</row>
    <row r="77" spans="2:36" x14ac:dyDescent="0.25">
      <c r="B77" s="5">
        <v>0.5</v>
      </c>
      <c r="C77" s="5">
        <v>0</v>
      </c>
      <c r="D77" s="5">
        <v>0.5</v>
      </c>
      <c r="E77" s="5">
        <v>0</v>
      </c>
      <c r="N77" s="5">
        <v>1</v>
      </c>
      <c r="O77" s="5">
        <v>0</v>
      </c>
      <c r="P77" s="5">
        <v>0</v>
      </c>
      <c r="Q77" s="5">
        <v>0</v>
      </c>
      <c r="Z77" s="5">
        <v>0.47058823529411764</v>
      </c>
      <c r="AA77" s="5">
        <v>0.29411764705882354</v>
      </c>
      <c r="AB77" s="5">
        <v>0.23529411764705882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</row>
    <row r="78" spans="2:36" x14ac:dyDescent="0.25">
      <c r="Z78" s="5">
        <v>0.29411764705882354</v>
      </c>
      <c r="AA78" s="5">
        <v>0.6470588235294118</v>
      </c>
      <c r="AB78" s="5">
        <v>0</v>
      </c>
      <c r="AC78" s="5">
        <v>5.8823529411764705E-2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</row>
    <row r="79" spans="2:36" x14ac:dyDescent="0.25">
      <c r="Z79" s="5">
        <v>0.4</v>
      </c>
      <c r="AA79" s="5">
        <v>0.43333333333333335</v>
      </c>
      <c r="AB79" s="5">
        <v>0.1</v>
      </c>
      <c r="AC79" s="5">
        <v>6.6666666666666666E-2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</row>
  </sheetData>
  <mergeCells count="2">
    <mergeCell ref="B1:K1"/>
    <mergeCell ref="N1:W1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FFFF00"/>
  </sheetPr>
  <dimension ref="B1:BH147"/>
  <sheetViews>
    <sheetView zoomScaleNormal="100" workbookViewId="0">
      <selection activeCell="T1" sqref="T1:BH1048576"/>
    </sheetView>
  </sheetViews>
  <sheetFormatPr defaultRowHeight="15" x14ac:dyDescent="0.25"/>
  <cols>
    <col min="1" max="1" width="1.140625" style="5" customWidth="1"/>
    <col min="2" max="2" width="16.7109375" style="5" customWidth="1"/>
    <col min="3" max="13" width="8.28515625" style="5" customWidth="1"/>
    <col min="14" max="14" width="1.7109375" style="5" customWidth="1"/>
    <col min="15" max="17" width="9.140625" style="5"/>
    <col min="18" max="18" width="15.7109375" style="5" bestFit="1" customWidth="1"/>
    <col min="19" max="19" width="9.140625" style="5"/>
    <col min="20" max="54" width="4.28515625" style="5" customWidth="1"/>
    <col min="55" max="60" width="4.28515625" customWidth="1"/>
    <col min="61" max="16384" width="9.140625" style="5"/>
  </cols>
  <sheetData>
    <row r="1" spans="2:60" ht="10.5" customHeight="1" x14ac:dyDescent="0.25">
      <c r="C1" s="5" t="str">
        <f>Probabilidades!C1</f>
        <v>0-10</v>
      </c>
      <c r="D1" s="5" t="str">
        <f>Probabilidades!D1</f>
        <v>0-10</v>
      </c>
      <c r="E1" s="5" t="str">
        <f>Probabilidades!E1</f>
        <v>0-100</v>
      </c>
      <c r="F1" s="5" t="str">
        <f>Probabilidades!F1</f>
        <v>0-100</v>
      </c>
      <c r="G1" s="5" t="str">
        <f>Probabilidades!G1</f>
        <v>0-100</v>
      </c>
      <c r="H1" s="5" t="str">
        <f>Probabilidades!H1</f>
        <v>0-100</v>
      </c>
      <c r="I1" s="5" t="str">
        <f>Probabilidades!I1</f>
        <v>0-21</v>
      </c>
      <c r="J1" s="5" t="str">
        <f>Probabilidades!J1</f>
        <v>0-21</v>
      </c>
      <c r="K1" s="5" t="e">
        <f>Probabilidades!#REF!</f>
        <v>#REF!</v>
      </c>
      <c r="L1" s="5" t="e">
        <f>Probabilidades!#REF!</f>
        <v>#REF!</v>
      </c>
      <c r="M1" s="5" t="str">
        <f>Probabilidades!K1</f>
        <v>0-63</v>
      </c>
      <c r="T1" s="203" t="s">
        <v>59</v>
      </c>
      <c r="U1" s="203"/>
      <c r="V1" s="203"/>
      <c r="W1" s="203"/>
      <c r="X1" s="203"/>
      <c r="Y1" s="203"/>
      <c r="Z1" s="203"/>
      <c r="AA1" s="203"/>
      <c r="AB1" s="203"/>
      <c r="AC1" s="203"/>
      <c r="AF1" s="203" t="s">
        <v>60</v>
      </c>
      <c r="AG1" s="203"/>
      <c r="AH1" s="203"/>
      <c r="AI1" s="203"/>
      <c r="AJ1" s="203"/>
      <c r="AK1" s="203"/>
      <c r="AL1" s="203"/>
      <c r="AM1" s="203"/>
      <c r="AN1" s="203"/>
      <c r="AO1" s="203"/>
    </row>
    <row r="2" spans="2:60" ht="10.5" customHeight="1" x14ac:dyDescent="0.25">
      <c r="C2" s="7" t="s">
        <v>21</v>
      </c>
      <c r="D2" s="7" t="s">
        <v>20</v>
      </c>
      <c r="E2" s="7" t="s">
        <v>2</v>
      </c>
      <c r="F2" s="7" t="s">
        <v>12</v>
      </c>
      <c r="G2" s="7" t="s">
        <v>11</v>
      </c>
      <c r="H2" s="7" t="s">
        <v>13</v>
      </c>
      <c r="I2" s="7" t="s">
        <v>14</v>
      </c>
      <c r="J2" s="7" t="s">
        <v>15</v>
      </c>
      <c r="K2" s="7" t="s">
        <v>18</v>
      </c>
      <c r="L2" s="7" t="s">
        <v>19</v>
      </c>
      <c r="M2" s="7" t="s">
        <v>9</v>
      </c>
      <c r="O2" s="217" t="s">
        <v>38</v>
      </c>
      <c r="P2" s="217"/>
      <c r="Q2" s="217"/>
      <c r="R2" s="217"/>
      <c r="T2" s="5" t="s">
        <v>0</v>
      </c>
      <c r="AF2" s="5" t="s">
        <v>0</v>
      </c>
    </row>
    <row r="3" spans="2:60" ht="10.5" customHeight="1" x14ac:dyDescent="0.25">
      <c r="B3" s="8" t="s">
        <v>44</v>
      </c>
      <c r="C3" s="5">
        <f>Probabilidades!C3</f>
        <v>5</v>
      </c>
      <c r="D3" s="5">
        <f>Probabilidades!D3</f>
        <v>9</v>
      </c>
      <c r="E3" s="5">
        <f>Probabilidades!E3</f>
        <v>40</v>
      </c>
      <c r="F3" s="5">
        <f>Probabilidades!F3</f>
        <v>40</v>
      </c>
      <c r="G3" s="5">
        <f>Probabilidades!G3</f>
        <v>40</v>
      </c>
      <c r="H3" s="5">
        <f>Probabilidades!H3</f>
        <v>50</v>
      </c>
      <c r="I3" s="5">
        <f>Probabilidades!I3</f>
        <v>90</v>
      </c>
      <c r="J3" s="5">
        <f>Probabilidades!J3</f>
        <v>10</v>
      </c>
      <c r="K3" s="5" t="e">
        <f>Probabilidades!#REF!</f>
        <v>#REF!</v>
      </c>
      <c r="L3" s="5" t="e">
        <f>Probabilidades!#REF!</f>
        <v>#REF!</v>
      </c>
      <c r="M3" s="5">
        <f>Probabilidades!K3</f>
        <v>50</v>
      </c>
      <c r="O3" s="9" t="s">
        <v>23</v>
      </c>
      <c r="P3" s="9" t="s">
        <v>24</v>
      </c>
      <c r="Q3" s="9" t="s">
        <v>25</v>
      </c>
      <c r="R3" s="9" t="s">
        <v>26</v>
      </c>
      <c r="T3" s="5">
        <v>1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F3" s="5">
        <v>0.75862068965517238</v>
      </c>
      <c r="AG3" s="5">
        <v>0.20689655172413793</v>
      </c>
      <c r="AH3" s="5">
        <v>3.4482758620689655E-2</v>
      </c>
      <c r="AI3" s="5">
        <v>0</v>
      </c>
      <c r="AJ3" s="5">
        <v>0</v>
      </c>
      <c r="AK3" s="5">
        <v>0</v>
      </c>
      <c r="AL3" s="5">
        <v>0</v>
      </c>
      <c r="AM3" s="5">
        <v>0</v>
      </c>
      <c r="AN3" s="5">
        <v>0</v>
      </c>
      <c r="AO3" s="5">
        <v>0</v>
      </c>
      <c r="AP3" s="5">
        <v>0</v>
      </c>
      <c r="AR3" s="5" t="s">
        <v>158</v>
      </c>
    </row>
    <row r="4" spans="2:60" ht="10.5" customHeight="1" x14ac:dyDescent="0.25">
      <c r="B4" s="5" t="s">
        <v>45</v>
      </c>
      <c r="C4" s="10">
        <f>C3</f>
        <v>5</v>
      </c>
      <c r="D4" s="10">
        <f>D3</f>
        <v>9</v>
      </c>
      <c r="E4" s="10">
        <f>VLOOKUP(E3,$O$44:$Q$47,3)</f>
        <v>2</v>
      </c>
      <c r="F4" s="10">
        <f t="shared" ref="F4:G4" si="0">VLOOKUP(F3,$O$44:$Q$47,3)</f>
        <v>2</v>
      </c>
      <c r="G4" s="10">
        <f t="shared" si="0"/>
        <v>2</v>
      </c>
      <c r="H4" s="10">
        <f>VLOOKUP(H3,$O$4:$Q$8,3)</f>
        <v>3</v>
      </c>
      <c r="I4" s="10">
        <f>VLOOKUP(I3,$O$19:$Q$21,3)</f>
        <v>3</v>
      </c>
      <c r="J4" s="10">
        <f>VLOOKUP(J3,$O$13:$Q$15,3)</f>
        <v>2</v>
      </c>
      <c r="K4" s="10" t="e">
        <f>VLOOKUP(K3,$O$31:$Q$33,3)</f>
        <v>#REF!</v>
      </c>
      <c r="L4" s="10" t="e">
        <f>VLOOKUP(L3,$O$25:$Q$27,3)</f>
        <v>#REF!</v>
      </c>
      <c r="M4" s="10">
        <f>VLOOKUP(M3,$O$37:$Q$40,3)</f>
        <v>4</v>
      </c>
      <c r="O4" s="9">
        <v>0</v>
      </c>
      <c r="P4" s="9">
        <v>20</v>
      </c>
      <c r="Q4" s="9">
        <v>1</v>
      </c>
      <c r="R4" s="9" t="s">
        <v>39</v>
      </c>
      <c r="T4" s="5">
        <v>1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F4" s="5">
        <v>1</v>
      </c>
      <c r="AG4" s="5">
        <v>0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R4" s="5">
        <v>0.89655172413793105</v>
      </c>
      <c r="AS4" s="5">
        <v>6.8965517241379309E-2</v>
      </c>
      <c r="AT4" s="5">
        <v>3.4482758620689655E-2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0</v>
      </c>
      <c r="BA4" s="5">
        <v>0</v>
      </c>
      <c r="BB4" s="5">
        <v>0</v>
      </c>
      <c r="BD4" s="5"/>
      <c r="BE4" s="5" t="s">
        <v>164</v>
      </c>
      <c r="BF4" s="5" t="s">
        <v>165</v>
      </c>
      <c r="BG4" s="5" t="s">
        <v>166</v>
      </c>
      <c r="BH4" s="5" t="s">
        <v>167</v>
      </c>
    </row>
    <row r="5" spans="2:60" ht="10.5" customHeight="1" x14ac:dyDescent="0.25">
      <c r="O5" s="9">
        <v>21</v>
      </c>
      <c r="P5" s="9">
        <v>40</v>
      </c>
      <c r="Q5" s="9">
        <v>2</v>
      </c>
      <c r="R5" s="9" t="s">
        <v>40</v>
      </c>
      <c r="T5" s="5">
        <v>0.75</v>
      </c>
      <c r="U5" s="5">
        <v>0.125</v>
      </c>
      <c r="V5" s="5">
        <v>0.125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F5" s="5">
        <v>0.625</v>
      </c>
      <c r="AG5" s="5">
        <v>0.25</v>
      </c>
      <c r="AH5" s="5">
        <v>0.125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R5" s="5">
        <v>0</v>
      </c>
      <c r="AS5" s="5">
        <v>1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D5" s="5">
        <v>1</v>
      </c>
      <c r="BE5" s="5">
        <v>3.048780487804878E-2</v>
      </c>
      <c r="BF5" s="5">
        <v>6.4935064935064939E-3</v>
      </c>
      <c r="BG5" s="5">
        <v>5.9523809523809521E-3</v>
      </c>
      <c r="BH5" s="5">
        <v>6.41025641025641E-3</v>
      </c>
    </row>
    <row r="6" spans="2:60" ht="10.5" customHeight="1" x14ac:dyDescent="0.25">
      <c r="B6" s="11" t="s">
        <v>21</v>
      </c>
      <c r="C6" s="9">
        <v>0</v>
      </c>
      <c r="D6" s="9">
        <v>1</v>
      </c>
      <c r="E6" s="9">
        <v>2</v>
      </c>
      <c r="F6" s="9">
        <v>3</v>
      </c>
      <c r="G6" s="9">
        <v>4</v>
      </c>
      <c r="H6" s="9">
        <v>5</v>
      </c>
      <c r="I6" s="9">
        <v>6</v>
      </c>
      <c r="J6" s="9">
        <v>7</v>
      </c>
      <c r="K6" s="9">
        <v>8</v>
      </c>
      <c r="L6" s="9">
        <v>9</v>
      </c>
      <c r="M6" s="9">
        <v>10</v>
      </c>
      <c r="O6" s="9">
        <v>41</v>
      </c>
      <c r="P6" s="9">
        <v>60</v>
      </c>
      <c r="Q6" s="9">
        <v>3</v>
      </c>
      <c r="R6" s="9" t="s">
        <v>41</v>
      </c>
      <c r="T6" s="5">
        <v>0.4</v>
      </c>
      <c r="U6" s="5">
        <v>0.33333333333333331</v>
      </c>
      <c r="V6" s="5">
        <v>0.2</v>
      </c>
      <c r="W6" s="5">
        <v>6.6666666666666666E-2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F6" s="5">
        <v>0.53333333333333333</v>
      </c>
      <c r="AG6" s="5">
        <v>0.26666666666666666</v>
      </c>
      <c r="AH6" s="5">
        <v>0.2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0</v>
      </c>
      <c r="AO6" s="5">
        <v>0</v>
      </c>
      <c r="AP6" s="5">
        <v>0</v>
      </c>
      <c r="AR6" s="5">
        <v>0.875</v>
      </c>
      <c r="AS6" s="5">
        <v>0</v>
      </c>
      <c r="AT6" s="5">
        <v>0.125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D6" s="5">
        <v>2</v>
      </c>
      <c r="BE6" s="5">
        <v>0.43902439024390244</v>
      </c>
      <c r="BF6" s="5">
        <v>0.20779220779220781</v>
      </c>
      <c r="BG6" s="5">
        <v>0</v>
      </c>
      <c r="BH6" s="5">
        <v>0</v>
      </c>
    </row>
    <row r="7" spans="2:60" ht="10.5" customHeight="1" x14ac:dyDescent="0.25">
      <c r="B7" s="11" t="s">
        <v>20</v>
      </c>
      <c r="C7" s="9">
        <v>0</v>
      </c>
      <c r="D7" s="9">
        <v>1</v>
      </c>
      <c r="E7" s="9">
        <v>2</v>
      </c>
      <c r="F7" s="9">
        <v>3</v>
      </c>
      <c r="G7" s="9">
        <v>4</v>
      </c>
      <c r="H7" s="9">
        <v>5</v>
      </c>
      <c r="I7" s="9">
        <v>6</v>
      </c>
      <c r="J7" s="9">
        <v>7</v>
      </c>
      <c r="K7" s="9">
        <v>8</v>
      </c>
      <c r="L7" s="9">
        <v>9</v>
      </c>
      <c r="M7" s="9">
        <v>10</v>
      </c>
      <c r="O7" s="9">
        <v>61</v>
      </c>
      <c r="P7" s="9">
        <v>80</v>
      </c>
      <c r="Q7" s="9">
        <v>4</v>
      </c>
      <c r="R7" s="9" t="s">
        <v>42</v>
      </c>
      <c r="T7" s="5">
        <v>0.3888888888888889</v>
      </c>
      <c r="U7" s="5">
        <v>0.44444444444444442</v>
      </c>
      <c r="V7" s="5">
        <v>0.16666666666666666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F7" s="5">
        <v>0.55555555555555558</v>
      </c>
      <c r="AG7" s="5">
        <v>0.22222222222222221</v>
      </c>
      <c r="AH7" s="5">
        <v>0.22222222222222221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R7" s="5">
        <v>0.66666666666666663</v>
      </c>
      <c r="AS7" s="5">
        <v>0.2</v>
      </c>
      <c r="AT7" s="5">
        <v>0.13333333333333333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D7" s="5">
        <v>3</v>
      </c>
      <c r="BE7" s="5">
        <v>5.4878048780487805E-2</v>
      </c>
      <c r="BF7" s="5">
        <v>6.4935064935064929E-2</v>
      </c>
      <c r="BG7" s="5">
        <v>0.11904761904761904</v>
      </c>
      <c r="BH7" s="5">
        <v>7.6923076923076927E-2</v>
      </c>
    </row>
    <row r="8" spans="2:60" ht="10.5" customHeight="1" x14ac:dyDescent="0.25">
      <c r="B8" s="11" t="s">
        <v>2</v>
      </c>
      <c r="C8" s="9">
        <v>1</v>
      </c>
      <c r="D8" s="9">
        <v>2</v>
      </c>
      <c r="E8" s="9">
        <v>3</v>
      </c>
      <c r="F8" s="9">
        <v>4</v>
      </c>
      <c r="G8" s="9"/>
      <c r="H8" s="9"/>
      <c r="I8" s="9"/>
      <c r="J8" s="9"/>
      <c r="K8" s="9"/>
      <c r="L8" s="9"/>
      <c r="O8" s="9">
        <v>81</v>
      </c>
      <c r="P8" s="9">
        <v>100</v>
      </c>
      <c r="Q8" s="9">
        <v>5</v>
      </c>
      <c r="R8" s="9" t="s">
        <v>43</v>
      </c>
      <c r="T8" s="5">
        <v>0</v>
      </c>
      <c r="U8" s="5">
        <v>0.6</v>
      </c>
      <c r="V8" s="5">
        <v>0.4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F8" s="5">
        <v>0.6</v>
      </c>
      <c r="AG8" s="5">
        <v>0.4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R8" s="5">
        <v>0.83333333333333337</v>
      </c>
      <c r="AS8" s="5">
        <v>5.5555555555555552E-2</v>
      </c>
      <c r="AT8" s="5">
        <v>0.1111111111111111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D8" s="5">
        <v>4</v>
      </c>
      <c r="BE8" s="5">
        <v>0.29878048780487804</v>
      </c>
      <c r="BF8" s="5">
        <v>0.33766233766233766</v>
      </c>
      <c r="BG8" s="5">
        <v>0.36904761904761907</v>
      </c>
      <c r="BH8" s="5">
        <v>0.25</v>
      </c>
    </row>
    <row r="9" spans="2:60" ht="10.5" customHeight="1" x14ac:dyDescent="0.25">
      <c r="B9" s="11" t="s">
        <v>12</v>
      </c>
      <c r="C9" s="9">
        <v>1</v>
      </c>
      <c r="D9" s="9">
        <v>2</v>
      </c>
      <c r="E9" s="9">
        <v>3</v>
      </c>
      <c r="F9" s="9">
        <v>4</v>
      </c>
      <c r="G9" s="9"/>
      <c r="H9" s="9"/>
      <c r="I9" s="9"/>
      <c r="J9" s="9"/>
      <c r="K9" s="9"/>
      <c r="L9" s="9"/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R9" s="5">
        <v>1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D9" s="5">
        <v>5</v>
      </c>
      <c r="BE9" s="5">
        <v>0.17682926829268292</v>
      </c>
      <c r="BF9" s="5">
        <v>0.38311688311688313</v>
      </c>
      <c r="BG9" s="5">
        <v>0.50595238095238093</v>
      </c>
      <c r="BH9" s="5">
        <v>0.66666666666666663</v>
      </c>
    </row>
    <row r="10" spans="2:60" ht="10.5" customHeight="1" x14ac:dyDescent="0.25">
      <c r="B10" s="11" t="s">
        <v>11</v>
      </c>
      <c r="C10" s="9">
        <v>1</v>
      </c>
      <c r="D10" s="9">
        <v>2</v>
      </c>
      <c r="E10" s="9">
        <v>3</v>
      </c>
      <c r="F10" s="9">
        <v>4</v>
      </c>
      <c r="G10" s="9"/>
      <c r="H10" s="9"/>
      <c r="I10" s="9"/>
      <c r="J10" s="9"/>
      <c r="K10" s="9"/>
      <c r="L10" s="9"/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</row>
    <row r="11" spans="2:60" ht="10.5" customHeight="1" x14ac:dyDescent="0.25">
      <c r="B11" s="11" t="s">
        <v>13</v>
      </c>
      <c r="C11" s="9">
        <v>1</v>
      </c>
      <c r="D11" s="9">
        <v>2</v>
      </c>
      <c r="E11" s="9">
        <v>3</v>
      </c>
      <c r="F11" s="9">
        <v>4</v>
      </c>
      <c r="G11" s="9">
        <v>5</v>
      </c>
      <c r="H11" s="9"/>
      <c r="I11" s="9"/>
      <c r="J11" s="9"/>
      <c r="K11" s="9"/>
      <c r="L11" s="9"/>
      <c r="O11" s="218" t="s">
        <v>31</v>
      </c>
      <c r="P11" s="218"/>
      <c r="Q11" s="218"/>
      <c r="R11" s="218"/>
      <c r="T11" s="5">
        <v>0</v>
      </c>
      <c r="U11" s="5">
        <v>1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F11" s="5">
        <v>1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</row>
    <row r="12" spans="2:60" ht="10.5" customHeight="1" x14ac:dyDescent="0.25">
      <c r="B12" s="11" t="s">
        <v>14</v>
      </c>
      <c r="C12" s="9">
        <v>1</v>
      </c>
      <c r="D12" s="9">
        <v>2</v>
      </c>
      <c r="E12" s="9">
        <v>3</v>
      </c>
      <c r="F12" s="9"/>
      <c r="G12" s="9"/>
      <c r="H12" s="9"/>
      <c r="I12" s="9"/>
      <c r="J12" s="9"/>
      <c r="K12" s="9"/>
      <c r="L12" s="9"/>
      <c r="O12" s="9" t="s">
        <v>23</v>
      </c>
      <c r="P12" s="9" t="s">
        <v>24</v>
      </c>
      <c r="Q12" s="9" t="s">
        <v>25</v>
      </c>
      <c r="R12" s="9" t="s">
        <v>26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R12" s="5">
        <v>1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</row>
    <row r="13" spans="2:60" x14ac:dyDescent="0.25">
      <c r="B13" s="11" t="s">
        <v>15</v>
      </c>
      <c r="C13" s="9">
        <v>1</v>
      </c>
      <c r="D13" s="9">
        <v>2</v>
      </c>
      <c r="E13" s="9">
        <v>3</v>
      </c>
      <c r="F13" s="9"/>
      <c r="G13" s="9"/>
      <c r="H13" s="9"/>
      <c r="I13" s="9"/>
      <c r="J13" s="9"/>
      <c r="K13" s="9"/>
      <c r="L13" s="9"/>
      <c r="O13" s="9">
        <v>0</v>
      </c>
      <c r="P13" s="9">
        <v>7</v>
      </c>
      <c r="Q13" s="9">
        <v>1</v>
      </c>
      <c r="R13" s="9" t="s">
        <v>32</v>
      </c>
      <c r="T13" s="5">
        <v>1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F13" s="5">
        <v>1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</row>
    <row r="14" spans="2:60" x14ac:dyDescent="0.25">
      <c r="B14" s="11" t="s">
        <v>18</v>
      </c>
      <c r="C14" s="9">
        <v>1</v>
      </c>
      <c r="D14" s="9">
        <v>2</v>
      </c>
      <c r="E14" s="9">
        <v>3</v>
      </c>
      <c r="F14" s="9"/>
      <c r="G14" s="9"/>
      <c r="H14" s="9"/>
      <c r="I14" s="9"/>
      <c r="J14" s="9"/>
      <c r="K14" s="9"/>
      <c r="L14" s="9"/>
      <c r="O14" s="9">
        <v>8</v>
      </c>
      <c r="P14" s="9">
        <v>11</v>
      </c>
      <c r="Q14" s="9">
        <v>2</v>
      </c>
      <c r="R14" s="9" t="s">
        <v>33</v>
      </c>
      <c r="AR14" s="5">
        <v>1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</row>
    <row r="15" spans="2:60" x14ac:dyDescent="0.25">
      <c r="B15" s="11" t="s">
        <v>19</v>
      </c>
      <c r="C15" s="9">
        <v>1</v>
      </c>
      <c r="D15" s="9">
        <v>2</v>
      </c>
      <c r="E15" s="9">
        <v>3</v>
      </c>
      <c r="F15" s="9"/>
      <c r="G15" s="9"/>
      <c r="H15" s="9"/>
      <c r="I15" s="9"/>
      <c r="J15" s="9"/>
      <c r="K15" s="9"/>
      <c r="L15" s="9"/>
      <c r="O15" s="9">
        <v>12</v>
      </c>
      <c r="P15" s="9">
        <v>21</v>
      </c>
      <c r="Q15" s="9">
        <v>3</v>
      </c>
      <c r="R15" s="9" t="s">
        <v>34</v>
      </c>
      <c r="T15" s="5" t="s">
        <v>1</v>
      </c>
      <c r="AF15" s="5" t="s">
        <v>1</v>
      </c>
    </row>
    <row r="16" spans="2:60" x14ac:dyDescent="0.25">
      <c r="B16" s="11" t="s">
        <v>9</v>
      </c>
      <c r="C16" s="9">
        <v>1</v>
      </c>
      <c r="D16" s="9">
        <v>2</v>
      </c>
      <c r="E16" s="9">
        <v>3</v>
      </c>
      <c r="F16" s="9">
        <v>4</v>
      </c>
      <c r="G16" s="9"/>
      <c r="H16" s="9"/>
      <c r="I16" s="9"/>
      <c r="J16" s="9"/>
      <c r="K16" s="9"/>
      <c r="L16" s="9"/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R16" s="5" t="s">
        <v>159</v>
      </c>
    </row>
    <row r="17" spans="2:54" x14ac:dyDescent="0.25">
      <c r="O17" s="214" t="s">
        <v>35</v>
      </c>
      <c r="P17" s="215"/>
      <c r="Q17" s="215"/>
      <c r="R17" s="216"/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R17" s="5">
        <v>0.62068965517241381</v>
      </c>
      <c r="AS17" s="5">
        <v>0.27586206896551724</v>
      </c>
      <c r="AT17" s="5">
        <v>0.10344827586206896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</row>
    <row r="18" spans="2:54" x14ac:dyDescent="0.25">
      <c r="B18" s="11" t="s">
        <v>21</v>
      </c>
      <c r="C18" s="9">
        <f>IFERROR(C6/$C$4,1)</f>
        <v>0</v>
      </c>
      <c r="D18" s="9">
        <f>IFERROR(D6/$C$4,0)</f>
        <v>0.2</v>
      </c>
      <c r="E18" s="9">
        <f t="shared" ref="E18:M18" si="1">IFERROR(E6/$C$4,0)</f>
        <v>0.4</v>
      </c>
      <c r="F18" s="9">
        <f t="shared" si="1"/>
        <v>0.6</v>
      </c>
      <c r="G18" s="9">
        <f t="shared" si="1"/>
        <v>0.8</v>
      </c>
      <c r="H18" s="9">
        <f t="shared" si="1"/>
        <v>1</v>
      </c>
      <c r="I18" s="9">
        <f t="shared" si="1"/>
        <v>1.2</v>
      </c>
      <c r="J18" s="9">
        <f t="shared" si="1"/>
        <v>1.4</v>
      </c>
      <c r="K18" s="9">
        <f t="shared" si="1"/>
        <v>1.6</v>
      </c>
      <c r="L18" s="9">
        <f t="shared" si="1"/>
        <v>1.8</v>
      </c>
      <c r="M18" s="9">
        <f t="shared" si="1"/>
        <v>2</v>
      </c>
      <c r="O18" s="9" t="s">
        <v>23</v>
      </c>
      <c r="P18" s="9" t="s">
        <v>24</v>
      </c>
      <c r="Q18" s="9" t="s">
        <v>25</v>
      </c>
      <c r="R18" s="9" t="s">
        <v>26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R18" s="5">
        <v>0</v>
      </c>
      <c r="AS18" s="5">
        <v>0</v>
      </c>
      <c r="AT18" s="5">
        <v>1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</row>
    <row r="19" spans="2:54" x14ac:dyDescent="0.25">
      <c r="B19" s="11" t="s">
        <v>20</v>
      </c>
      <c r="C19" s="9">
        <f>IFERROR(C7/$D$4,1)</f>
        <v>0</v>
      </c>
      <c r="D19" s="9">
        <f>IFERROR(D7/$D$4,0)</f>
        <v>0.1111111111111111</v>
      </c>
      <c r="E19" s="9">
        <f t="shared" ref="E19:L19" si="2">IFERROR(E7/$D$4,0)</f>
        <v>0.22222222222222221</v>
      </c>
      <c r="F19" s="9">
        <f t="shared" si="2"/>
        <v>0.33333333333333331</v>
      </c>
      <c r="G19" s="9">
        <f t="shared" si="2"/>
        <v>0.44444444444444442</v>
      </c>
      <c r="H19" s="9">
        <f t="shared" si="2"/>
        <v>0.55555555555555558</v>
      </c>
      <c r="I19" s="9">
        <f t="shared" si="2"/>
        <v>0.66666666666666663</v>
      </c>
      <c r="J19" s="9">
        <f t="shared" si="2"/>
        <v>0.77777777777777779</v>
      </c>
      <c r="K19" s="9">
        <f t="shared" si="2"/>
        <v>0.88888888888888884</v>
      </c>
      <c r="L19" s="9">
        <f t="shared" si="2"/>
        <v>1</v>
      </c>
      <c r="M19" s="9">
        <f>IFERROR(M7/$D$4,0)</f>
        <v>1.1111111111111112</v>
      </c>
      <c r="O19" s="9">
        <v>0</v>
      </c>
      <c r="P19" s="9">
        <v>7</v>
      </c>
      <c r="Q19" s="9">
        <v>1</v>
      </c>
      <c r="R19" s="9" t="s">
        <v>32</v>
      </c>
      <c r="T19" s="5">
        <v>0</v>
      </c>
      <c r="U19" s="5">
        <v>0</v>
      </c>
      <c r="V19" s="5">
        <v>0</v>
      </c>
      <c r="W19" s="5">
        <v>0</v>
      </c>
      <c r="X19" s="5">
        <v>1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F19" s="5">
        <v>0</v>
      </c>
      <c r="AG19" s="5">
        <v>0</v>
      </c>
      <c r="AH19" s="5">
        <v>1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R19" s="5">
        <v>0.5</v>
      </c>
      <c r="AS19" s="5">
        <v>0.375</v>
      </c>
      <c r="AT19" s="5">
        <v>0.125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</row>
    <row r="20" spans="2:54" x14ac:dyDescent="0.25">
      <c r="B20" s="11" t="s">
        <v>2</v>
      </c>
      <c r="C20" s="9">
        <f>C8/$E$4</f>
        <v>0.5</v>
      </c>
      <c r="D20" s="9">
        <f t="shared" ref="D20:F20" si="3">D8/$E$4</f>
        <v>1</v>
      </c>
      <c r="E20" s="9">
        <f t="shared" si="3"/>
        <v>1.5</v>
      </c>
      <c r="F20" s="9">
        <f t="shared" si="3"/>
        <v>2</v>
      </c>
      <c r="G20" s="9"/>
      <c r="H20" s="9"/>
      <c r="I20" s="9"/>
      <c r="J20" s="9"/>
      <c r="K20" s="9"/>
      <c r="L20" s="9"/>
      <c r="O20" s="9">
        <v>8</v>
      </c>
      <c r="P20" s="9">
        <v>11</v>
      </c>
      <c r="Q20" s="9">
        <v>2</v>
      </c>
      <c r="R20" s="9" t="s">
        <v>33</v>
      </c>
      <c r="T20" s="5">
        <v>0</v>
      </c>
      <c r="U20" s="5">
        <v>0</v>
      </c>
      <c r="V20" s="5">
        <v>1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F20" s="5">
        <v>1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R20" s="5">
        <v>0.6</v>
      </c>
      <c r="AS20" s="5">
        <v>0.26666666666666666</v>
      </c>
      <c r="AT20" s="5">
        <v>0.13333333333333333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</row>
    <row r="21" spans="2:54" x14ac:dyDescent="0.25">
      <c r="B21" s="11" t="s">
        <v>12</v>
      </c>
      <c r="C21" s="9">
        <f>C9/$F$4</f>
        <v>0.5</v>
      </c>
      <c r="D21" s="9">
        <f t="shared" ref="D21:F21" si="4">D9/$F$4</f>
        <v>1</v>
      </c>
      <c r="E21" s="9">
        <f t="shared" si="4"/>
        <v>1.5</v>
      </c>
      <c r="F21" s="9">
        <f t="shared" si="4"/>
        <v>2</v>
      </c>
      <c r="G21" s="9"/>
      <c r="H21" s="9"/>
      <c r="I21" s="9"/>
      <c r="J21" s="9"/>
      <c r="K21" s="9"/>
      <c r="L21" s="9"/>
      <c r="O21" s="9">
        <v>12</v>
      </c>
      <c r="P21" s="9">
        <v>21</v>
      </c>
      <c r="Q21" s="9">
        <v>3</v>
      </c>
      <c r="R21" s="9" t="s">
        <v>34</v>
      </c>
      <c r="T21" s="5">
        <v>0.66666666666666663</v>
      </c>
      <c r="U21" s="5">
        <v>0</v>
      </c>
      <c r="V21" s="5">
        <v>0.33333333333333331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F21" s="5">
        <v>0.66666666666666663</v>
      </c>
      <c r="AG21" s="5">
        <v>0.33333333333333331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R21" s="5">
        <v>0.72222222222222221</v>
      </c>
      <c r="AS21" s="5">
        <v>0.27777777777777779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</row>
    <row r="22" spans="2:54" x14ac:dyDescent="0.25">
      <c r="B22" s="11" t="s">
        <v>11</v>
      </c>
      <c r="C22" s="9">
        <f>C10/$G$4</f>
        <v>0.5</v>
      </c>
      <c r="D22" s="9">
        <f t="shared" ref="D22:F22" si="5">D10/$G$4</f>
        <v>1</v>
      </c>
      <c r="E22" s="9">
        <f t="shared" si="5"/>
        <v>1.5</v>
      </c>
      <c r="F22" s="9">
        <f t="shared" si="5"/>
        <v>2</v>
      </c>
      <c r="G22" s="9"/>
      <c r="H22" s="9"/>
      <c r="I22" s="9"/>
      <c r="J22" s="9"/>
      <c r="K22" s="9"/>
      <c r="L22" s="9"/>
      <c r="T22" s="5">
        <v>1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F22" s="5">
        <v>0</v>
      </c>
      <c r="AG22" s="5">
        <v>1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R22" s="5">
        <v>0.8</v>
      </c>
      <c r="AS22" s="5">
        <v>0.2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</row>
    <row r="23" spans="2:54" x14ac:dyDescent="0.25">
      <c r="B23" s="11" t="s">
        <v>13</v>
      </c>
      <c r="C23" s="9">
        <f>C11/$H$4</f>
        <v>0.33333333333333331</v>
      </c>
      <c r="D23" s="9">
        <f t="shared" ref="D23:G23" si="6">D11/$H$4</f>
        <v>0.66666666666666663</v>
      </c>
      <c r="E23" s="9">
        <f t="shared" si="6"/>
        <v>1</v>
      </c>
      <c r="F23" s="9">
        <f t="shared" si="6"/>
        <v>1.3333333333333333</v>
      </c>
      <c r="G23" s="9">
        <f t="shared" si="6"/>
        <v>1.6666666666666667</v>
      </c>
      <c r="H23" s="9"/>
      <c r="I23" s="9"/>
      <c r="J23" s="9"/>
      <c r="K23" s="9"/>
      <c r="L23" s="9"/>
      <c r="O23" s="211" t="s">
        <v>36</v>
      </c>
      <c r="P23" s="212"/>
      <c r="Q23" s="212"/>
      <c r="R23" s="213"/>
      <c r="T23" s="5">
        <v>1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F23" s="5">
        <v>0.66666666666666663</v>
      </c>
      <c r="AG23" s="5">
        <v>0.33333333333333331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</row>
    <row r="24" spans="2:54" x14ac:dyDescent="0.25">
      <c r="B24" s="11" t="s">
        <v>14</v>
      </c>
      <c r="C24" s="9">
        <f>C12/$I$4</f>
        <v>0.33333333333333331</v>
      </c>
      <c r="D24" s="9">
        <f t="shared" ref="D24:E24" si="7">D12/$I$4</f>
        <v>0.66666666666666663</v>
      </c>
      <c r="E24" s="9">
        <f t="shared" si="7"/>
        <v>1</v>
      </c>
      <c r="F24" s="9"/>
      <c r="G24" s="9"/>
      <c r="H24" s="9"/>
      <c r="I24" s="9"/>
      <c r="J24" s="9"/>
      <c r="K24" s="9"/>
      <c r="L24" s="9"/>
      <c r="O24" s="9" t="s">
        <v>23</v>
      </c>
      <c r="P24" s="9" t="s">
        <v>24</v>
      </c>
      <c r="Q24" s="9" t="s">
        <v>25</v>
      </c>
      <c r="R24" s="9" t="s">
        <v>26</v>
      </c>
      <c r="T24" s="5">
        <v>0.29411764705882354</v>
      </c>
      <c r="U24" s="5">
        <v>0.41176470588235292</v>
      </c>
      <c r="V24" s="5">
        <v>0.23529411764705882</v>
      </c>
      <c r="W24" s="5">
        <v>5.8823529411764705E-2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F24" s="5">
        <v>0.52941176470588236</v>
      </c>
      <c r="AG24" s="5">
        <v>0.23529411764705882</v>
      </c>
      <c r="AH24" s="5">
        <v>0.11764705882352941</v>
      </c>
      <c r="AI24" s="5">
        <v>0.11764705882352941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</row>
    <row r="25" spans="2:54" x14ac:dyDescent="0.25">
      <c r="B25" s="11" t="s">
        <v>15</v>
      </c>
      <c r="C25" s="9">
        <f>C13/$J$4</f>
        <v>0.5</v>
      </c>
      <c r="D25" s="9">
        <f t="shared" ref="D25:E25" si="8">D13/$J$4</f>
        <v>1</v>
      </c>
      <c r="E25" s="9">
        <f t="shared" si="8"/>
        <v>1.5</v>
      </c>
      <c r="F25" s="9"/>
      <c r="G25" s="9"/>
      <c r="H25" s="9"/>
      <c r="I25" s="9"/>
      <c r="J25" s="9"/>
      <c r="K25" s="9"/>
      <c r="L25" s="9"/>
      <c r="O25" s="9">
        <v>0</v>
      </c>
      <c r="P25" s="9">
        <v>7</v>
      </c>
      <c r="Q25" s="9">
        <v>1</v>
      </c>
      <c r="R25" s="9" t="s">
        <v>32</v>
      </c>
      <c r="T25" s="5">
        <v>0.29411764705882354</v>
      </c>
      <c r="U25" s="5">
        <v>0.17647058823529413</v>
      </c>
      <c r="V25" s="5">
        <v>0.35294117647058826</v>
      </c>
      <c r="W25" s="5">
        <v>0.17647058823529413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F25" s="5">
        <v>0.29411764705882354</v>
      </c>
      <c r="AG25" s="5">
        <v>0.58823529411764708</v>
      </c>
      <c r="AH25" s="5">
        <v>5.8823529411764705E-2</v>
      </c>
      <c r="AI25" s="5">
        <v>5.8823529411764705E-2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R25" s="5">
        <v>1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</row>
    <row r="26" spans="2:54" x14ac:dyDescent="0.25">
      <c r="B26" s="11" t="s">
        <v>18</v>
      </c>
      <c r="C26" s="9" t="e">
        <f>C14/$K$4</f>
        <v>#REF!</v>
      </c>
      <c r="D26" s="9" t="e">
        <f t="shared" ref="D26:E26" si="9">D14/$K$4</f>
        <v>#REF!</v>
      </c>
      <c r="E26" s="9" t="e">
        <f t="shared" si="9"/>
        <v>#REF!</v>
      </c>
      <c r="F26" s="9"/>
      <c r="G26" s="9"/>
      <c r="H26" s="9"/>
      <c r="I26" s="9"/>
      <c r="J26" s="9"/>
      <c r="K26" s="9"/>
      <c r="L26" s="9"/>
      <c r="O26" s="9">
        <v>8</v>
      </c>
      <c r="P26" s="9">
        <v>15</v>
      </c>
      <c r="Q26" s="9">
        <v>2</v>
      </c>
      <c r="R26" s="9" t="s">
        <v>33</v>
      </c>
      <c r="T26" s="5">
        <v>0.43333333333333335</v>
      </c>
      <c r="U26" s="5">
        <v>0.23333333333333334</v>
      </c>
      <c r="V26" s="5">
        <v>0.13333333333333333</v>
      </c>
      <c r="W26" s="5">
        <v>0.13333333333333333</v>
      </c>
      <c r="X26" s="5">
        <v>6.6666666666666666E-2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F26" s="5">
        <v>0.46666666666666667</v>
      </c>
      <c r="AG26" s="5">
        <v>0.3</v>
      </c>
      <c r="AH26" s="5">
        <v>0.13333333333333333</v>
      </c>
      <c r="AI26" s="5">
        <v>0</v>
      </c>
      <c r="AJ26" s="5">
        <v>3.3333333333333333E-2</v>
      </c>
      <c r="AK26" s="5">
        <v>3.3333333333333333E-2</v>
      </c>
      <c r="AL26" s="5">
        <v>3.3333333333333333E-2</v>
      </c>
      <c r="AM26" s="5">
        <v>0</v>
      </c>
      <c r="AN26" s="5">
        <v>0</v>
      </c>
      <c r="AO26" s="5">
        <v>0</v>
      </c>
      <c r="AP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</row>
    <row r="27" spans="2:54" x14ac:dyDescent="0.25">
      <c r="B27" s="11" t="s">
        <v>19</v>
      </c>
      <c r="C27" s="9" t="e">
        <f>C15/$L$4</f>
        <v>#REF!</v>
      </c>
      <c r="D27" s="9" t="e">
        <f t="shared" ref="D27:E27" si="10">D15/$L$4</f>
        <v>#REF!</v>
      </c>
      <c r="E27" s="9" t="e">
        <f t="shared" si="10"/>
        <v>#REF!</v>
      </c>
      <c r="F27" s="9"/>
      <c r="G27" s="9"/>
      <c r="H27" s="9"/>
      <c r="I27" s="9"/>
      <c r="J27" s="9"/>
      <c r="K27" s="9"/>
      <c r="L27" s="9"/>
      <c r="O27" s="9">
        <v>16</v>
      </c>
      <c r="P27" s="9">
        <v>24</v>
      </c>
      <c r="Q27" s="9">
        <v>3</v>
      </c>
      <c r="R27" s="9" t="s">
        <v>34</v>
      </c>
      <c r="AR27" s="5">
        <v>1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</row>
    <row r="28" spans="2:54" x14ac:dyDescent="0.25">
      <c r="B28" s="11" t="s">
        <v>9</v>
      </c>
      <c r="C28" s="9">
        <f>C16/$M$4</f>
        <v>0.25</v>
      </c>
      <c r="D28" s="9">
        <f t="shared" ref="D28:F28" si="11">D16/$M$4</f>
        <v>0.5</v>
      </c>
      <c r="E28" s="9">
        <f t="shared" si="11"/>
        <v>0.75</v>
      </c>
      <c r="F28" s="9">
        <f t="shared" si="11"/>
        <v>1</v>
      </c>
      <c r="G28" s="9"/>
      <c r="H28" s="9"/>
      <c r="I28" s="9"/>
      <c r="J28" s="9"/>
      <c r="K28" s="9"/>
      <c r="L28" s="9"/>
      <c r="T28" s="5" t="s">
        <v>3</v>
      </c>
      <c r="AF28" s="5" t="s">
        <v>3</v>
      </c>
    </row>
    <row r="29" spans="2:54" x14ac:dyDescent="0.25">
      <c r="C29" s="4"/>
      <c r="D29" s="4"/>
      <c r="E29" s="4"/>
      <c r="F29" s="4"/>
      <c r="G29" s="4"/>
      <c r="H29" s="4"/>
      <c r="I29" s="4"/>
      <c r="J29" s="4"/>
      <c r="K29" s="4"/>
      <c r="L29" s="4"/>
      <c r="O29" s="211" t="s">
        <v>37</v>
      </c>
      <c r="P29" s="212"/>
      <c r="Q29" s="212"/>
      <c r="R29" s="213"/>
      <c r="T29" s="5">
        <v>7.1428571428571425E-2</v>
      </c>
      <c r="U29" s="5">
        <v>0.7142857142857143</v>
      </c>
      <c r="V29" s="5">
        <v>0.21428571428571427</v>
      </c>
      <c r="W29" s="5">
        <v>0</v>
      </c>
      <c r="AF29" s="5">
        <v>0</v>
      </c>
      <c r="AG29" s="5">
        <v>0.42857142857142855</v>
      </c>
      <c r="AH29" s="5">
        <v>0.42857142857142855</v>
      </c>
      <c r="AI29" s="5">
        <v>0.14285714285714285</v>
      </c>
      <c r="AR29" s="5" t="s">
        <v>160</v>
      </c>
    </row>
    <row r="30" spans="2:54" x14ac:dyDescent="0.25">
      <c r="B30" s="207" t="s">
        <v>58</v>
      </c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9"/>
      <c r="O30" s="9" t="s">
        <v>23</v>
      </c>
      <c r="P30" s="9" t="s">
        <v>24</v>
      </c>
      <c r="Q30" s="9" t="s">
        <v>25</v>
      </c>
      <c r="R30" s="9" t="s">
        <v>26</v>
      </c>
      <c r="T30" s="5">
        <v>0</v>
      </c>
      <c r="U30" s="5">
        <v>0.54347826086956519</v>
      </c>
      <c r="V30" s="5">
        <v>0.39130434782608697</v>
      </c>
      <c r="W30" s="5">
        <v>6.5217391304347824E-2</v>
      </c>
      <c r="AF30" s="5">
        <v>0</v>
      </c>
      <c r="AG30" s="5">
        <v>0.28260869565217389</v>
      </c>
      <c r="AH30" s="5">
        <v>0.2608695652173913</v>
      </c>
      <c r="AI30" s="5">
        <v>0.45652173913043476</v>
      </c>
      <c r="AR30" s="5">
        <v>0.44827586206896552</v>
      </c>
      <c r="AS30" s="5">
        <v>0.31034482758620691</v>
      </c>
      <c r="AT30" s="5">
        <v>0.2413793103448276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</row>
    <row r="31" spans="2:54" x14ac:dyDescent="0.25">
      <c r="B31" s="10" t="s">
        <v>21</v>
      </c>
      <c r="C31" s="10">
        <f t="shared" ref="C31:M31" si="12">IF(C18=1,1,0)</f>
        <v>0</v>
      </c>
      <c r="D31" s="10">
        <f t="shared" si="12"/>
        <v>0</v>
      </c>
      <c r="E31" s="10">
        <f t="shared" si="12"/>
        <v>0</v>
      </c>
      <c r="F31" s="10">
        <f t="shared" si="12"/>
        <v>0</v>
      </c>
      <c r="G31" s="10">
        <f t="shared" si="12"/>
        <v>0</v>
      </c>
      <c r="H31" s="10">
        <f t="shared" si="12"/>
        <v>1</v>
      </c>
      <c r="I31" s="10">
        <f t="shared" si="12"/>
        <v>0</v>
      </c>
      <c r="J31" s="10">
        <f t="shared" si="12"/>
        <v>0</v>
      </c>
      <c r="K31" s="10">
        <f t="shared" si="12"/>
        <v>0</v>
      </c>
      <c r="L31" s="10">
        <f t="shared" si="12"/>
        <v>0</v>
      </c>
      <c r="M31" s="10">
        <f t="shared" si="12"/>
        <v>0</v>
      </c>
      <c r="O31" s="9">
        <v>0</v>
      </c>
      <c r="P31" s="9">
        <v>14</v>
      </c>
      <c r="Q31" s="9">
        <v>1</v>
      </c>
      <c r="R31" s="9" t="s">
        <v>32</v>
      </c>
      <c r="T31" s="5">
        <v>0</v>
      </c>
      <c r="U31" s="5">
        <v>0.27777777777777779</v>
      </c>
      <c r="V31" s="5">
        <v>0.61111111111111116</v>
      </c>
      <c r="W31" s="5">
        <v>0.1111111111111111</v>
      </c>
      <c r="AF31" s="5">
        <v>0</v>
      </c>
      <c r="AG31" s="5">
        <v>0.22222222222222221</v>
      </c>
      <c r="AH31" s="5">
        <v>0.3888888888888889</v>
      </c>
      <c r="AI31" s="5">
        <v>0.3888888888888889</v>
      </c>
      <c r="AR31" s="5">
        <v>0</v>
      </c>
      <c r="AS31" s="5">
        <v>1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</row>
    <row r="32" spans="2:54" x14ac:dyDescent="0.25">
      <c r="B32" s="10" t="s">
        <v>20</v>
      </c>
      <c r="C32" s="10">
        <f t="shared" ref="C32:M32" si="13">IF(C19=1,1,0)</f>
        <v>0</v>
      </c>
      <c r="D32" s="10">
        <f t="shared" si="13"/>
        <v>0</v>
      </c>
      <c r="E32" s="10">
        <f t="shared" si="13"/>
        <v>0</v>
      </c>
      <c r="F32" s="10">
        <f t="shared" si="13"/>
        <v>0</v>
      </c>
      <c r="G32" s="10">
        <f t="shared" si="13"/>
        <v>0</v>
      </c>
      <c r="H32" s="10">
        <f t="shared" si="13"/>
        <v>0</v>
      </c>
      <c r="I32" s="10">
        <f t="shared" si="13"/>
        <v>0</v>
      </c>
      <c r="J32" s="10">
        <f t="shared" si="13"/>
        <v>0</v>
      </c>
      <c r="K32" s="10">
        <f t="shared" si="13"/>
        <v>0</v>
      </c>
      <c r="L32" s="10">
        <f t="shared" si="13"/>
        <v>1</v>
      </c>
      <c r="M32" s="10">
        <f t="shared" si="13"/>
        <v>0</v>
      </c>
      <c r="O32" s="9">
        <v>15</v>
      </c>
      <c r="P32" s="9">
        <v>30</v>
      </c>
      <c r="Q32" s="9">
        <v>2</v>
      </c>
      <c r="R32" s="9" t="s">
        <v>33</v>
      </c>
      <c r="T32" s="5">
        <v>0</v>
      </c>
      <c r="U32" s="5">
        <v>0</v>
      </c>
      <c r="V32" s="5">
        <v>0</v>
      </c>
      <c r="W32" s="5">
        <v>0</v>
      </c>
      <c r="AF32" s="5">
        <v>0</v>
      </c>
      <c r="AG32" s="5">
        <v>0</v>
      </c>
      <c r="AH32" s="5">
        <v>0</v>
      </c>
      <c r="AI32" s="5">
        <v>0</v>
      </c>
      <c r="AR32" s="5">
        <v>0.25</v>
      </c>
      <c r="AS32" s="5">
        <v>0.625</v>
      </c>
      <c r="AT32" s="5">
        <v>0.125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</row>
    <row r="33" spans="2:54" x14ac:dyDescent="0.25">
      <c r="B33" s="10" t="s">
        <v>2</v>
      </c>
      <c r="C33" s="10">
        <f t="shared" ref="C33:F36" si="14">IF(C20=1,1,0)</f>
        <v>0</v>
      </c>
      <c r="D33" s="10">
        <f t="shared" si="14"/>
        <v>1</v>
      </c>
      <c r="E33" s="10">
        <f t="shared" si="14"/>
        <v>0</v>
      </c>
      <c r="F33" s="10">
        <f t="shared" si="14"/>
        <v>0</v>
      </c>
      <c r="G33" s="10"/>
      <c r="H33" s="10"/>
      <c r="I33" s="10"/>
      <c r="J33" s="10"/>
      <c r="K33" s="10"/>
      <c r="L33" s="10"/>
      <c r="M33" s="13"/>
      <c r="O33" s="9">
        <v>31</v>
      </c>
      <c r="P33" s="9">
        <v>42</v>
      </c>
      <c r="Q33" s="9">
        <v>3</v>
      </c>
      <c r="R33" s="9" t="s">
        <v>34</v>
      </c>
      <c r="AR33" s="5">
        <v>0.4</v>
      </c>
      <c r="AS33" s="5">
        <v>0.33333333333333331</v>
      </c>
      <c r="AT33" s="5">
        <v>0.13333333333333333</v>
      </c>
      <c r="AU33" s="5">
        <v>0.13333333333333333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</row>
    <row r="34" spans="2:54" x14ac:dyDescent="0.25">
      <c r="B34" s="10" t="s">
        <v>12</v>
      </c>
      <c r="C34" s="10">
        <f t="shared" si="14"/>
        <v>0</v>
      </c>
      <c r="D34" s="10">
        <f t="shared" si="14"/>
        <v>1</v>
      </c>
      <c r="E34" s="10">
        <f t="shared" si="14"/>
        <v>0</v>
      </c>
      <c r="F34" s="10">
        <f t="shared" si="14"/>
        <v>0</v>
      </c>
      <c r="G34" s="10"/>
      <c r="H34" s="10"/>
      <c r="I34" s="10"/>
      <c r="J34" s="10"/>
      <c r="K34" s="10"/>
      <c r="L34" s="10"/>
      <c r="M34" s="13"/>
      <c r="T34" s="5" t="s">
        <v>4</v>
      </c>
      <c r="AF34" s="5" t="s">
        <v>4</v>
      </c>
      <c r="AR34" s="5">
        <v>0.44444444444444442</v>
      </c>
      <c r="AS34" s="5">
        <v>0.3888888888888889</v>
      </c>
      <c r="AT34" s="5">
        <v>0.1111111111111111</v>
      </c>
      <c r="AU34" s="5">
        <v>5.5555555555555552E-2</v>
      </c>
      <c r="AV34" s="5">
        <v>0</v>
      </c>
      <c r="AW34" s="5">
        <v>0</v>
      </c>
      <c r="AX34" s="5">
        <v>0</v>
      </c>
      <c r="AY34" s="5">
        <v>0</v>
      </c>
      <c r="AZ34" s="5">
        <v>0</v>
      </c>
      <c r="BA34" s="5">
        <v>0</v>
      </c>
      <c r="BB34" s="5">
        <v>0</v>
      </c>
    </row>
    <row r="35" spans="2:54" x14ac:dyDescent="0.25">
      <c r="B35" s="10" t="s">
        <v>11</v>
      </c>
      <c r="C35" s="10">
        <f t="shared" si="14"/>
        <v>0</v>
      </c>
      <c r="D35" s="10">
        <f t="shared" si="14"/>
        <v>1</v>
      </c>
      <c r="E35" s="10">
        <f t="shared" si="14"/>
        <v>0</v>
      </c>
      <c r="F35" s="10">
        <f t="shared" si="14"/>
        <v>0</v>
      </c>
      <c r="G35" s="10"/>
      <c r="H35" s="10"/>
      <c r="I35" s="10"/>
      <c r="J35" s="10"/>
      <c r="K35" s="10"/>
      <c r="L35" s="10"/>
      <c r="M35" s="13"/>
      <c r="O35" s="207" t="s">
        <v>22</v>
      </c>
      <c r="P35" s="208"/>
      <c r="Q35" s="208"/>
      <c r="R35" s="209"/>
      <c r="T35" s="5">
        <v>0.1111111111111111</v>
      </c>
      <c r="U35" s="5">
        <v>0.22222222222222221</v>
      </c>
      <c r="V35" s="5">
        <v>0.66666666666666663</v>
      </c>
      <c r="W35" s="5">
        <v>0</v>
      </c>
      <c r="AF35" s="5">
        <v>0</v>
      </c>
      <c r="AG35" s="5">
        <v>0.22222222222222221</v>
      </c>
      <c r="AH35" s="5">
        <v>0.55555555555555558</v>
      </c>
      <c r="AI35" s="5">
        <v>0.22222222222222221</v>
      </c>
      <c r="AR35" s="5">
        <v>0.8</v>
      </c>
      <c r="AS35" s="5">
        <v>0.2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0</v>
      </c>
      <c r="BA35" s="5">
        <v>0</v>
      </c>
      <c r="BB35" s="5">
        <v>0</v>
      </c>
    </row>
    <row r="36" spans="2:54" x14ac:dyDescent="0.25">
      <c r="B36" s="10" t="s">
        <v>13</v>
      </c>
      <c r="C36" s="10">
        <f t="shared" si="14"/>
        <v>0</v>
      </c>
      <c r="D36" s="10">
        <f t="shared" si="14"/>
        <v>0</v>
      </c>
      <c r="E36" s="10">
        <f t="shared" si="14"/>
        <v>1</v>
      </c>
      <c r="F36" s="10">
        <f t="shared" si="14"/>
        <v>0</v>
      </c>
      <c r="G36" s="10">
        <f>IF(G23=1,1,0)</f>
        <v>0</v>
      </c>
      <c r="H36" s="10"/>
      <c r="I36" s="10"/>
      <c r="J36" s="10"/>
      <c r="K36" s="10"/>
      <c r="L36" s="10"/>
      <c r="M36" s="13"/>
      <c r="O36" s="9" t="s">
        <v>23</v>
      </c>
      <c r="P36" s="9" t="s">
        <v>24</v>
      </c>
      <c r="Q36" s="9" t="s">
        <v>25</v>
      </c>
      <c r="R36" s="9" t="s">
        <v>26</v>
      </c>
      <c r="T36" s="5">
        <v>0</v>
      </c>
      <c r="U36" s="5">
        <v>0.56756756756756754</v>
      </c>
      <c r="V36" s="5">
        <v>0.3783783783783784</v>
      </c>
      <c r="W36" s="5">
        <v>5.4054054054054057E-2</v>
      </c>
      <c r="AF36" s="5">
        <v>0</v>
      </c>
      <c r="AG36" s="5">
        <v>0.27027027027027029</v>
      </c>
      <c r="AH36" s="5">
        <v>0.24324324324324326</v>
      </c>
      <c r="AI36" s="5">
        <v>0.48648648648648651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0</v>
      </c>
      <c r="BA36" s="5">
        <v>0</v>
      </c>
      <c r="BB36" s="5">
        <v>0</v>
      </c>
    </row>
    <row r="37" spans="2:54" x14ac:dyDescent="0.25">
      <c r="B37" s="10" t="s">
        <v>14</v>
      </c>
      <c r="C37" s="10">
        <f t="shared" ref="C37:E41" si="15">IF(C24=1,1,0)</f>
        <v>0</v>
      </c>
      <c r="D37" s="10">
        <f t="shared" si="15"/>
        <v>0</v>
      </c>
      <c r="E37" s="10">
        <f t="shared" si="15"/>
        <v>1</v>
      </c>
      <c r="F37" s="10"/>
      <c r="G37" s="10"/>
      <c r="H37" s="10"/>
      <c r="I37" s="10"/>
      <c r="J37" s="10"/>
      <c r="K37" s="10"/>
      <c r="L37" s="10"/>
      <c r="M37" s="13"/>
      <c r="O37" s="9">
        <v>0</v>
      </c>
      <c r="P37" s="9">
        <v>13</v>
      </c>
      <c r="Q37" s="9">
        <v>1</v>
      </c>
      <c r="R37" s="9" t="s">
        <v>27</v>
      </c>
      <c r="T37" s="5">
        <v>0</v>
      </c>
      <c r="U37" s="5">
        <v>0.23076923076923078</v>
      </c>
      <c r="V37" s="5">
        <v>0.57692307692307687</v>
      </c>
      <c r="W37" s="5">
        <v>0.19230769230769232</v>
      </c>
      <c r="AF37" s="5">
        <v>0</v>
      </c>
      <c r="AG37" s="5">
        <v>0.34615384615384615</v>
      </c>
      <c r="AH37" s="5">
        <v>0.23076923076923078</v>
      </c>
      <c r="AI37" s="5">
        <v>0.42307692307692307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</row>
    <row r="38" spans="2:54" x14ac:dyDescent="0.25">
      <c r="B38" s="10" t="s">
        <v>15</v>
      </c>
      <c r="C38" s="10">
        <f t="shared" si="15"/>
        <v>0</v>
      </c>
      <c r="D38" s="10">
        <f t="shared" si="15"/>
        <v>1</v>
      </c>
      <c r="E38" s="10">
        <f t="shared" si="15"/>
        <v>0</v>
      </c>
      <c r="F38" s="10"/>
      <c r="G38" s="10"/>
      <c r="H38" s="10"/>
      <c r="I38" s="10"/>
      <c r="J38" s="10"/>
      <c r="K38" s="10"/>
      <c r="L38" s="10"/>
      <c r="M38" s="13"/>
      <c r="O38" s="9">
        <v>14</v>
      </c>
      <c r="P38" s="9">
        <v>19</v>
      </c>
      <c r="Q38" s="9">
        <v>2</v>
      </c>
      <c r="R38" s="9" t="s">
        <v>28</v>
      </c>
      <c r="T38" s="5">
        <v>0</v>
      </c>
      <c r="U38" s="5">
        <v>0</v>
      </c>
      <c r="V38" s="5">
        <v>0.66666666666666663</v>
      </c>
      <c r="W38" s="5">
        <v>0.33333333333333331</v>
      </c>
      <c r="AF38" s="5">
        <v>0</v>
      </c>
      <c r="AG38" s="5">
        <v>0.16666666666666666</v>
      </c>
      <c r="AH38" s="5">
        <v>0.33333333333333331</v>
      </c>
      <c r="AI38" s="5">
        <v>0.5</v>
      </c>
      <c r="AR38" s="5">
        <v>1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</row>
    <row r="39" spans="2:54" x14ac:dyDescent="0.25">
      <c r="B39" s="10" t="s">
        <v>18</v>
      </c>
      <c r="C39" s="10" t="e">
        <f t="shared" si="15"/>
        <v>#REF!</v>
      </c>
      <c r="D39" s="10" t="e">
        <f t="shared" si="15"/>
        <v>#REF!</v>
      </c>
      <c r="E39" s="10" t="e">
        <f t="shared" si="15"/>
        <v>#REF!</v>
      </c>
      <c r="F39" s="10"/>
      <c r="G39" s="10"/>
      <c r="H39" s="10"/>
      <c r="I39" s="10"/>
      <c r="J39" s="10"/>
      <c r="K39" s="10"/>
      <c r="L39" s="10"/>
      <c r="M39" s="13"/>
      <c r="O39" s="9">
        <v>20</v>
      </c>
      <c r="P39" s="9">
        <v>28</v>
      </c>
      <c r="Q39" s="9">
        <v>3</v>
      </c>
      <c r="R39" s="9" t="s">
        <v>29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</row>
    <row r="40" spans="2:54" x14ac:dyDescent="0.25">
      <c r="B40" s="10" t="s">
        <v>19</v>
      </c>
      <c r="C40" s="10" t="e">
        <f t="shared" si="15"/>
        <v>#REF!</v>
      </c>
      <c r="D40" s="10" t="e">
        <f t="shared" si="15"/>
        <v>#REF!</v>
      </c>
      <c r="E40" s="10" t="e">
        <f t="shared" si="15"/>
        <v>#REF!</v>
      </c>
      <c r="F40" s="10"/>
      <c r="G40" s="10"/>
      <c r="H40" s="10"/>
      <c r="I40" s="10"/>
      <c r="J40" s="10"/>
      <c r="K40" s="10"/>
      <c r="L40" s="10"/>
      <c r="M40" s="13"/>
      <c r="O40" s="9">
        <v>29</v>
      </c>
      <c r="P40" s="9">
        <v>63</v>
      </c>
      <c r="Q40" s="9">
        <v>4</v>
      </c>
      <c r="R40" s="9" t="s">
        <v>30</v>
      </c>
      <c r="T40" s="5" t="s">
        <v>5</v>
      </c>
      <c r="AF40" s="5" t="s">
        <v>5</v>
      </c>
      <c r="AR40" s="5">
        <v>1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0</v>
      </c>
      <c r="BA40" s="5">
        <v>0</v>
      </c>
      <c r="BB40" s="5">
        <v>0</v>
      </c>
    </row>
    <row r="41" spans="2:54" x14ac:dyDescent="0.25">
      <c r="B41" s="10" t="s">
        <v>9</v>
      </c>
      <c r="C41" s="10">
        <f t="shared" si="15"/>
        <v>0</v>
      </c>
      <c r="D41" s="10">
        <f t="shared" si="15"/>
        <v>0</v>
      </c>
      <c r="E41" s="10">
        <f t="shared" si="15"/>
        <v>0</v>
      </c>
      <c r="F41" s="10">
        <f>IF(F28=1,1,0)</f>
        <v>1</v>
      </c>
      <c r="G41" s="10"/>
      <c r="H41" s="10"/>
      <c r="I41" s="10"/>
      <c r="J41" s="10"/>
      <c r="K41" s="10"/>
      <c r="L41" s="10"/>
      <c r="M41" s="13"/>
      <c r="T41" s="5">
        <v>0.20833333333333334</v>
      </c>
      <c r="U41" s="5">
        <v>0.58333333333333337</v>
      </c>
      <c r="V41" s="5">
        <v>0.16666666666666666</v>
      </c>
      <c r="W41" s="5">
        <v>4.1666666666666664E-2</v>
      </c>
      <c r="AF41" s="5">
        <v>0.125</v>
      </c>
      <c r="AG41" s="5">
        <v>0.16666666666666666</v>
      </c>
      <c r="AH41" s="5">
        <v>0.33333333333333331</v>
      </c>
      <c r="AI41" s="5">
        <v>0.375</v>
      </c>
    </row>
    <row r="42" spans="2:54" x14ac:dyDescent="0.25">
      <c r="O42" s="210" t="s">
        <v>56</v>
      </c>
      <c r="P42" s="210"/>
      <c r="Q42" s="210"/>
      <c r="R42" s="210"/>
      <c r="T42" s="5">
        <v>4.1666666666666664E-2</v>
      </c>
      <c r="U42" s="5">
        <v>0.5625</v>
      </c>
      <c r="V42" s="5">
        <v>0.33333333333333331</v>
      </c>
      <c r="W42" s="5">
        <v>6.25E-2</v>
      </c>
      <c r="AF42" s="5">
        <v>4.1666666666666664E-2</v>
      </c>
      <c r="AG42" s="5">
        <v>0.125</v>
      </c>
      <c r="AH42" s="5">
        <v>0.35416666666666669</v>
      </c>
      <c r="AI42" s="5">
        <v>0.47916666666666669</v>
      </c>
      <c r="AR42" s="5" t="s">
        <v>161</v>
      </c>
    </row>
    <row r="43" spans="2:54" x14ac:dyDescent="0.25">
      <c r="B43" s="204" t="s">
        <v>57</v>
      </c>
      <c r="C43" s="205"/>
      <c r="D43" s="205"/>
      <c r="E43" s="205"/>
      <c r="F43" s="205"/>
      <c r="G43" s="205"/>
      <c r="H43" s="205"/>
      <c r="I43" s="205"/>
      <c r="J43" s="205"/>
      <c r="K43" s="205"/>
      <c r="L43" s="205"/>
      <c r="M43" s="206"/>
      <c r="O43" s="9" t="s">
        <v>23</v>
      </c>
      <c r="P43" s="9" t="s">
        <v>24</v>
      </c>
      <c r="Q43" s="9" t="s">
        <v>25</v>
      </c>
      <c r="R43" s="9" t="s">
        <v>26</v>
      </c>
      <c r="T43" s="5">
        <v>0</v>
      </c>
      <c r="U43" s="5">
        <v>0.2</v>
      </c>
      <c r="V43" s="5">
        <v>0.6</v>
      </c>
      <c r="W43" s="5">
        <v>0.2</v>
      </c>
      <c r="AF43" s="5">
        <v>0</v>
      </c>
      <c r="AG43" s="5">
        <v>0</v>
      </c>
      <c r="AH43" s="5">
        <v>0.6</v>
      </c>
      <c r="AI43" s="5">
        <v>0.4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</row>
    <row r="44" spans="2:54" x14ac:dyDescent="0.25">
      <c r="B44" s="12" t="s">
        <v>21</v>
      </c>
      <c r="C44" s="12">
        <f t="array" ref="C44:M44">MMULT(C31:M31,T3:AD13)</f>
        <v>0</v>
      </c>
      <c r="D44" s="12">
        <v>0.6</v>
      </c>
      <c r="E44" s="12">
        <v>0.4</v>
      </c>
      <c r="F44" s="12">
        <v>0</v>
      </c>
      <c r="G44" s="12">
        <v>0</v>
      </c>
      <c r="H44" s="12">
        <v>0</v>
      </c>
      <c r="I44" s="12">
        <v>0</v>
      </c>
      <c r="J44" s="12">
        <v>0</v>
      </c>
      <c r="K44" s="12">
        <v>0</v>
      </c>
      <c r="L44" s="12">
        <v>0</v>
      </c>
      <c r="M44" s="12">
        <v>0</v>
      </c>
      <c r="O44" s="9">
        <v>0</v>
      </c>
      <c r="P44" s="9">
        <v>25</v>
      </c>
      <c r="Q44" s="9">
        <v>1</v>
      </c>
      <c r="R44" s="9" t="s">
        <v>52</v>
      </c>
      <c r="T44" s="5">
        <v>0</v>
      </c>
      <c r="U44" s="5">
        <v>0</v>
      </c>
      <c r="V44" s="5">
        <v>0</v>
      </c>
      <c r="W44" s="5">
        <v>1</v>
      </c>
      <c r="AF44" s="5">
        <v>0</v>
      </c>
      <c r="AG44" s="5">
        <v>0</v>
      </c>
      <c r="AH44" s="5">
        <v>1</v>
      </c>
      <c r="AI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</row>
    <row r="45" spans="2:54" x14ac:dyDescent="0.25">
      <c r="B45" s="12" t="s">
        <v>20</v>
      </c>
      <c r="C45" s="12">
        <f t="array" ref="C45:M45">MMULT(C32:M32,T16:AD26)</f>
        <v>0.29411764705882354</v>
      </c>
      <c r="D45" s="12">
        <v>0.17647058823529413</v>
      </c>
      <c r="E45" s="12">
        <v>0.35294117647058826</v>
      </c>
      <c r="F45" s="12">
        <v>0.17647058823529413</v>
      </c>
      <c r="G45" s="12">
        <v>0</v>
      </c>
      <c r="H45" s="12">
        <v>0</v>
      </c>
      <c r="I45" s="12">
        <v>0</v>
      </c>
      <c r="J45" s="12">
        <v>0</v>
      </c>
      <c r="K45" s="12">
        <v>0</v>
      </c>
      <c r="L45" s="12">
        <v>0</v>
      </c>
      <c r="M45" s="12">
        <v>0</v>
      </c>
      <c r="O45" s="9">
        <v>26</v>
      </c>
      <c r="P45" s="9">
        <v>50</v>
      </c>
      <c r="Q45" s="9">
        <v>2</v>
      </c>
      <c r="R45" s="9" t="s">
        <v>53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</row>
    <row r="46" spans="2:54" x14ac:dyDescent="0.25">
      <c r="B46" s="12" t="s">
        <v>2</v>
      </c>
      <c r="C46" s="12">
        <f t="array" ref="C46:M46">MMULT(C33:F33,T29:W32)</f>
        <v>0</v>
      </c>
      <c r="D46" s="12">
        <v>0.54347826086956519</v>
      </c>
      <c r="E46" s="12">
        <v>0.39130434782608697</v>
      </c>
      <c r="F46" s="12">
        <v>6.5217391304347824E-2</v>
      </c>
      <c r="G46" s="12" t="e">
        <v>#N/A</v>
      </c>
      <c r="H46" s="12" t="e">
        <v>#N/A</v>
      </c>
      <c r="I46" s="12" t="e">
        <v>#N/A</v>
      </c>
      <c r="J46" s="12" t="e">
        <v>#N/A</v>
      </c>
      <c r="K46" s="12" t="e">
        <v>#N/A</v>
      </c>
      <c r="L46" s="12" t="e">
        <v>#N/A</v>
      </c>
      <c r="M46" s="12" t="e">
        <v>#N/A</v>
      </c>
      <c r="O46" s="9">
        <v>51</v>
      </c>
      <c r="P46" s="9">
        <v>75</v>
      </c>
      <c r="Q46" s="9">
        <v>3</v>
      </c>
      <c r="R46" s="9" t="s">
        <v>54</v>
      </c>
      <c r="T46" s="5" t="s">
        <v>6</v>
      </c>
      <c r="AF46" s="5" t="s">
        <v>6</v>
      </c>
      <c r="AR46" s="5">
        <v>0</v>
      </c>
      <c r="AS46" s="5">
        <v>1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</row>
    <row r="47" spans="2:54" x14ac:dyDescent="0.25">
      <c r="B47" s="12" t="s">
        <v>12</v>
      </c>
      <c r="C47" s="12">
        <f t="array" ref="C47:M47">MMULT(C34:F34,T35:W38)</f>
        <v>0</v>
      </c>
      <c r="D47" s="12">
        <v>0.56756756756756754</v>
      </c>
      <c r="E47" s="12">
        <v>0.3783783783783784</v>
      </c>
      <c r="F47" s="12">
        <v>5.4054054054054057E-2</v>
      </c>
      <c r="G47" s="12" t="e">
        <v>#N/A</v>
      </c>
      <c r="H47" s="12" t="e">
        <v>#N/A</v>
      </c>
      <c r="I47" s="12" t="e">
        <v>#N/A</v>
      </c>
      <c r="J47" s="12" t="e">
        <v>#N/A</v>
      </c>
      <c r="K47" s="12" t="e">
        <v>#N/A</v>
      </c>
      <c r="L47" s="12" t="e">
        <v>#N/A</v>
      </c>
      <c r="M47" s="12" t="e">
        <v>#N/A</v>
      </c>
      <c r="O47" s="9">
        <v>76</v>
      </c>
      <c r="P47" s="9">
        <v>100</v>
      </c>
      <c r="Q47" s="9">
        <v>4</v>
      </c>
      <c r="R47" s="9" t="s">
        <v>55</v>
      </c>
      <c r="T47" s="5">
        <v>1</v>
      </c>
      <c r="U47" s="5">
        <v>0</v>
      </c>
      <c r="V47" s="5">
        <v>0</v>
      </c>
      <c r="W47" s="5">
        <v>0</v>
      </c>
      <c r="X47" s="5">
        <v>0</v>
      </c>
      <c r="AF47" s="5">
        <v>1</v>
      </c>
      <c r="AG47" s="5">
        <v>0</v>
      </c>
      <c r="AH47" s="5">
        <v>0</v>
      </c>
      <c r="AI47" s="5">
        <v>0</v>
      </c>
      <c r="AJ47" s="5">
        <v>0</v>
      </c>
      <c r="AR47" s="5">
        <v>1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</row>
    <row r="48" spans="2:54" x14ac:dyDescent="0.25">
      <c r="B48" s="12" t="s">
        <v>11</v>
      </c>
      <c r="C48" s="12">
        <f t="array" ref="C48:M48">MMULT(C35:F35,T41:W44)</f>
        <v>4.1666666666666664E-2</v>
      </c>
      <c r="D48" s="12">
        <v>0.5625</v>
      </c>
      <c r="E48" s="12">
        <v>0.33333333333333331</v>
      </c>
      <c r="F48" s="12">
        <v>6.25E-2</v>
      </c>
      <c r="G48" s="12" t="e">
        <v>#N/A</v>
      </c>
      <c r="H48" s="12" t="e">
        <v>#N/A</v>
      </c>
      <c r="I48" s="12" t="e">
        <v>#N/A</v>
      </c>
      <c r="J48" s="12" t="e">
        <v>#N/A</v>
      </c>
      <c r="K48" s="12" t="e">
        <v>#N/A</v>
      </c>
      <c r="L48" s="12" t="e">
        <v>#N/A</v>
      </c>
      <c r="M48" s="12" t="e">
        <v>#N/A</v>
      </c>
      <c r="T48" s="5">
        <v>0.19047619047619047</v>
      </c>
      <c r="U48" s="5">
        <v>0.52380952380952384</v>
      </c>
      <c r="V48" s="5">
        <v>0.2857142857142857</v>
      </c>
      <c r="W48" s="5">
        <v>0</v>
      </c>
      <c r="X48" s="5">
        <v>0</v>
      </c>
      <c r="AF48" s="5">
        <v>4.7619047619047616E-2</v>
      </c>
      <c r="AG48" s="5">
        <v>0.5714285714285714</v>
      </c>
      <c r="AH48" s="5">
        <v>0.38095238095238093</v>
      </c>
      <c r="AI48" s="5">
        <v>0</v>
      </c>
      <c r="AJ48" s="5">
        <v>0</v>
      </c>
      <c r="AR48" s="5">
        <v>0.66666666666666663</v>
      </c>
      <c r="AS48" s="5">
        <v>0.33333333333333331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</row>
    <row r="49" spans="2:54" x14ac:dyDescent="0.25">
      <c r="B49" s="12" t="s">
        <v>13</v>
      </c>
      <c r="C49" s="12">
        <f t="array" ref="C49:M49">MMULT(C36:G36,T47:X51)</f>
        <v>8.8235294117647065E-2</v>
      </c>
      <c r="D49" s="12">
        <v>0.67647058823529416</v>
      </c>
      <c r="E49" s="12">
        <v>0.20588235294117646</v>
      </c>
      <c r="F49" s="12">
        <v>0</v>
      </c>
      <c r="G49" s="12">
        <v>2.9411764705882353E-2</v>
      </c>
      <c r="H49" s="12" t="e">
        <v>#N/A</v>
      </c>
      <c r="I49" s="12" t="e">
        <v>#N/A</v>
      </c>
      <c r="J49" s="12" t="e">
        <v>#N/A</v>
      </c>
      <c r="K49" s="12" t="e">
        <v>#N/A</v>
      </c>
      <c r="L49" s="12" t="e">
        <v>#N/A</v>
      </c>
      <c r="M49" s="12" t="e">
        <v>#N/A</v>
      </c>
      <c r="T49" s="5">
        <v>8.8235294117647065E-2</v>
      </c>
      <c r="U49" s="5">
        <v>0.67647058823529416</v>
      </c>
      <c r="V49" s="5">
        <v>0.20588235294117646</v>
      </c>
      <c r="W49" s="5">
        <v>0</v>
      </c>
      <c r="X49" s="5">
        <v>2.9411764705882353E-2</v>
      </c>
      <c r="AF49" s="5">
        <v>0.17647058823529413</v>
      </c>
      <c r="AG49" s="5">
        <v>0.61764705882352944</v>
      </c>
      <c r="AH49" s="5">
        <v>0.20588235294117646</v>
      </c>
      <c r="AI49" s="5">
        <v>0</v>
      </c>
      <c r="AJ49" s="5">
        <v>0</v>
      </c>
      <c r="AR49" s="5">
        <v>0</v>
      </c>
      <c r="AS49" s="5">
        <v>1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</row>
    <row r="50" spans="2:54" x14ac:dyDescent="0.25">
      <c r="B50" s="12" t="s">
        <v>14</v>
      </c>
      <c r="C50" s="12">
        <f t="array" ref="C50:M50">MMULT(C37:E37,T54:V56)</f>
        <v>0.33333333333333331</v>
      </c>
      <c r="D50" s="12">
        <v>0.33333333333333331</v>
      </c>
      <c r="E50" s="12">
        <v>0.33333333333333331</v>
      </c>
      <c r="F50" s="12" t="e">
        <v>#N/A</v>
      </c>
      <c r="G50" s="12" t="e">
        <v>#N/A</v>
      </c>
      <c r="H50" s="12" t="e">
        <v>#N/A</v>
      </c>
      <c r="I50" s="12" t="e">
        <v>#N/A</v>
      </c>
      <c r="J50" s="12" t="e">
        <v>#N/A</v>
      </c>
      <c r="K50" s="12" t="e">
        <v>#N/A</v>
      </c>
      <c r="L50" s="12" t="e">
        <v>#N/A</v>
      </c>
      <c r="M50" s="12" t="e">
        <v>#N/A</v>
      </c>
      <c r="T50" s="5">
        <v>0.125</v>
      </c>
      <c r="U50" s="5">
        <v>0.75</v>
      </c>
      <c r="V50" s="5">
        <v>6.25E-2</v>
      </c>
      <c r="W50" s="5">
        <v>0</v>
      </c>
      <c r="X50" s="5">
        <v>6.25E-2</v>
      </c>
      <c r="AF50" s="5">
        <v>0</v>
      </c>
      <c r="AG50" s="5">
        <v>0.6875</v>
      </c>
      <c r="AH50" s="5">
        <v>0.3125</v>
      </c>
      <c r="AI50" s="5">
        <v>0</v>
      </c>
      <c r="AJ50" s="5">
        <v>0</v>
      </c>
      <c r="AR50" s="5">
        <v>0.33333333333333331</v>
      </c>
      <c r="AS50" s="5">
        <v>0.33333333333333331</v>
      </c>
      <c r="AT50" s="5">
        <v>0.33333333333333331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</row>
    <row r="51" spans="2:54" x14ac:dyDescent="0.25">
      <c r="B51" s="12" t="s">
        <v>15</v>
      </c>
      <c r="C51" s="12">
        <f t="array" ref="C51:M51">MMULT(C38:E38,T59:V61)</f>
        <v>0.56521739130434778</v>
      </c>
      <c r="D51" s="12">
        <v>0.13043478260869565</v>
      </c>
      <c r="E51" s="12">
        <v>0.30434782608695654</v>
      </c>
      <c r="F51" s="12" t="e">
        <v>#N/A</v>
      </c>
      <c r="G51" s="12" t="e">
        <v>#N/A</v>
      </c>
      <c r="H51" s="12" t="e">
        <v>#N/A</v>
      </c>
      <c r="I51" s="12" t="e">
        <v>#N/A</v>
      </c>
      <c r="J51" s="12" t="e">
        <v>#N/A</v>
      </c>
      <c r="K51" s="12" t="e">
        <v>#N/A</v>
      </c>
      <c r="L51" s="12" t="e">
        <v>#N/A</v>
      </c>
      <c r="M51" s="12" t="e">
        <v>#N/A</v>
      </c>
      <c r="T51" s="5">
        <v>0</v>
      </c>
      <c r="U51" s="5">
        <v>0.66666666666666663</v>
      </c>
      <c r="V51" s="5">
        <v>0.16666666666666666</v>
      </c>
      <c r="W51" s="5">
        <v>0</v>
      </c>
      <c r="X51" s="5">
        <v>0.16666666666666666</v>
      </c>
      <c r="AF51" s="5">
        <v>0.33333333333333331</v>
      </c>
      <c r="AG51" s="5">
        <v>0.16666666666666666</v>
      </c>
      <c r="AH51" s="5">
        <v>0.5</v>
      </c>
      <c r="AI51" s="5">
        <v>0</v>
      </c>
      <c r="AJ51" s="5">
        <v>0</v>
      </c>
      <c r="AR51" s="5">
        <v>0.41176470588235292</v>
      </c>
      <c r="AS51" s="5">
        <v>0.41176470588235292</v>
      </c>
      <c r="AT51" s="5">
        <v>0.17647058823529413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0</v>
      </c>
      <c r="BA51" s="5">
        <v>0</v>
      </c>
      <c r="BB51" s="5">
        <v>0</v>
      </c>
    </row>
    <row r="52" spans="2:54" x14ac:dyDescent="0.25">
      <c r="B52" s="12" t="s">
        <v>18</v>
      </c>
      <c r="C52" s="12" t="e">
        <f t="array" ref="C52:M52">MMULT(C39:E39,T64:V66)</f>
        <v>#REF!</v>
      </c>
      <c r="D52" s="12" t="e">
        <v>#REF!</v>
      </c>
      <c r="E52" s="12" t="e">
        <v>#REF!</v>
      </c>
      <c r="F52" s="12" t="e">
        <v>#REF!</v>
      </c>
      <c r="G52" s="12" t="e">
        <v>#REF!</v>
      </c>
      <c r="H52" s="12" t="e">
        <v>#REF!</v>
      </c>
      <c r="I52" s="12" t="e">
        <v>#REF!</v>
      </c>
      <c r="J52" s="12" t="e">
        <v>#REF!</v>
      </c>
      <c r="K52" s="12" t="e">
        <v>#REF!</v>
      </c>
      <c r="L52" s="12" t="e">
        <v>#REF!</v>
      </c>
      <c r="M52" s="12" t="e">
        <v>#REF!</v>
      </c>
      <c r="AR52" s="5">
        <v>0.35294117647058826</v>
      </c>
      <c r="AS52" s="5">
        <v>0.47058823529411764</v>
      </c>
      <c r="AT52" s="5">
        <v>0.11764705882352941</v>
      </c>
      <c r="AU52" s="5">
        <v>5.8823529411764705E-2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</row>
    <row r="53" spans="2:54" x14ac:dyDescent="0.25">
      <c r="B53" s="12" t="s">
        <v>19</v>
      </c>
      <c r="C53" s="12" t="e">
        <f t="array" ref="C53:M53">MMULT(C40:E40,T69:V71)</f>
        <v>#REF!</v>
      </c>
      <c r="D53" s="12" t="e">
        <v>#REF!</v>
      </c>
      <c r="E53" s="12" t="e">
        <v>#REF!</v>
      </c>
      <c r="F53" s="12" t="e">
        <v>#REF!</v>
      </c>
      <c r="G53" s="12" t="e">
        <v>#REF!</v>
      </c>
      <c r="H53" s="12" t="e">
        <v>#REF!</v>
      </c>
      <c r="I53" s="12" t="e">
        <v>#REF!</v>
      </c>
      <c r="J53" s="12" t="e">
        <v>#REF!</v>
      </c>
      <c r="K53" s="12" t="e">
        <v>#REF!</v>
      </c>
      <c r="L53" s="12" t="e">
        <v>#REF!</v>
      </c>
      <c r="M53" s="12" t="e">
        <v>#REF!</v>
      </c>
      <c r="T53" s="5" t="s">
        <v>16</v>
      </c>
      <c r="AF53" s="5" t="s">
        <v>16</v>
      </c>
      <c r="AR53" s="5">
        <v>0.4</v>
      </c>
      <c r="AS53" s="5">
        <v>0.46666666666666667</v>
      </c>
      <c r="AT53" s="5">
        <v>0</v>
      </c>
      <c r="AU53" s="5">
        <v>3.3333333333333333E-2</v>
      </c>
      <c r="AV53" s="5">
        <v>3.3333333333333333E-2</v>
      </c>
      <c r="AW53" s="5">
        <v>3.3333333333333333E-2</v>
      </c>
      <c r="AX53" s="5">
        <v>0</v>
      </c>
      <c r="AY53" s="5">
        <v>0</v>
      </c>
      <c r="AZ53" s="5">
        <v>3.3333333333333333E-2</v>
      </c>
      <c r="BA53" s="5">
        <v>0</v>
      </c>
      <c r="BB53" s="5">
        <v>0</v>
      </c>
    </row>
    <row r="54" spans="2:54" x14ac:dyDescent="0.25">
      <c r="B54" s="12" t="s">
        <v>9</v>
      </c>
      <c r="C54" s="12">
        <f t="array" ref="C54:M54">MMULT(C41:F41,T74:W77)</f>
        <v>0.5</v>
      </c>
      <c r="D54" s="12">
        <v>0</v>
      </c>
      <c r="E54" s="12">
        <v>0.5</v>
      </c>
      <c r="F54" s="12">
        <v>0</v>
      </c>
      <c r="G54" s="12" t="e">
        <v>#N/A</v>
      </c>
      <c r="H54" s="12" t="e">
        <v>#N/A</v>
      </c>
      <c r="I54" s="12" t="e">
        <v>#N/A</v>
      </c>
      <c r="J54" s="12" t="e">
        <v>#N/A</v>
      </c>
      <c r="K54" s="12" t="e">
        <v>#N/A</v>
      </c>
      <c r="L54" s="12" t="e">
        <v>#N/A</v>
      </c>
      <c r="M54" s="12" t="e">
        <v>#N/A</v>
      </c>
      <c r="T54" s="5">
        <v>0.81132075471698117</v>
      </c>
      <c r="U54" s="5">
        <v>1.8867924528301886E-2</v>
      </c>
      <c r="V54" s="5">
        <v>0.16981132075471697</v>
      </c>
      <c r="AF54" s="5">
        <v>0.84905660377358494</v>
      </c>
      <c r="AG54" s="5">
        <v>0.11320754716981132</v>
      </c>
      <c r="AH54" s="5">
        <v>3.7735849056603772E-2</v>
      </c>
    </row>
    <row r="55" spans="2:54" x14ac:dyDescent="0.25"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T55" s="5">
        <v>0.625</v>
      </c>
      <c r="U55" s="5">
        <v>6.25E-2</v>
      </c>
      <c r="V55" s="5">
        <v>0.3125</v>
      </c>
      <c r="AF55" s="5">
        <v>0.75</v>
      </c>
      <c r="AG55" s="5">
        <v>0.1875</v>
      </c>
      <c r="AH55" s="5">
        <v>6.25E-2</v>
      </c>
      <c r="AR55" s="5" t="s">
        <v>163</v>
      </c>
    </row>
    <row r="56" spans="2:54" x14ac:dyDescent="0.25">
      <c r="B56" s="204" t="s">
        <v>61</v>
      </c>
      <c r="C56" s="205"/>
      <c r="D56" s="205"/>
      <c r="E56" s="205"/>
      <c r="F56" s="205"/>
      <c r="G56" s="205"/>
      <c r="H56" s="205"/>
      <c r="I56" s="205"/>
      <c r="J56" s="205"/>
      <c r="K56" s="205"/>
      <c r="L56" s="205"/>
      <c r="M56" s="206"/>
      <c r="T56" s="5">
        <v>0.33333333333333331</v>
      </c>
      <c r="U56" s="5">
        <v>0.33333333333333331</v>
      </c>
      <c r="V56" s="5">
        <v>0.33333333333333331</v>
      </c>
      <c r="AF56" s="5">
        <v>0.55555555555555558</v>
      </c>
      <c r="AG56" s="5">
        <v>0.33333333333333331</v>
      </c>
      <c r="AH56" s="5">
        <v>0.1111111111111111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</row>
    <row r="57" spans="2:54" x14ac:dyDescent="0.25">
      <c r="B57" s="12" t="s">
        <v>21</v>
      </c>
      <c r="C57" s="12">
        <f t="array" ref="C57:M57">MMULT(C31:M31,AF3:AP13)</f>
        <v>0.6</v>
      </c>
      <c r="D57" s="12">
        <v>0.4</v>
      </c>
      <c r="E57" s="12">
        <v>0</v>
      </c>
      <c r="F57" s="12">
        <v>0</v>
      </c>
      <c r="G57" s="12">
        <v>0</v>
      </c>
      <c r="H57" s="12">
        <v>0</v>
      </c>
      <c r="I57" s="12">
        <v>0</v>
      </c>
      <c r="J57" s="12">
        <v>0</v>
      </c>
      <c r="K57" s="12">
        <v>0</v>
      </c>
      <c r="L57" s="12">
        <v>0</v>
      </c>
      <c r="M57" s="12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</row>
    <row r="58" spans="2:54" x14ac:dyDescent="0.25">
      <c r="B58" s="12" t="s">
        <v>20</v>
      </c>
      <c r="C58" s="12">
        <f t="array" ref="C58:M58">MMULT(C32:M32,AF16:AP26)</f>
        <v>0.29411764705882354</v>
      </c>
      <c r="D58" s="12">
        <v>0.58823529411764708</v>
      </c>
      <c r="E58" s="12">
        <v>5.8823529411764705E-2</v>
      </c>
      <c r="F58" s="12">
        <v>5.8823529411764705E-2</v>
      </c>
      <c r="G58" s="12">
        <v>0</v>
      </c>
      <c r="H58" s="12">
        <v>0</v>
      </c>
      <c r="I58" s="12">
        <v>0</v>
      </c>
      <c r="J58" s="12">
        <v>0</v>
      </c>
      <c r="K58" s="12">
        <v>0</v>
      </c>
      <c r="L58" s="12">
        <v>0</v>
      </c>
      <c r="M58" s="12">
        <v>0</v>
      </c>
      <c r="T58" s="5" t="s">
        <v>17</v>
      </c>
      <c r="AF58" s="5" t="s">
        <v>17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</row>
    <row r="59" spans="2:54" x14ac:dyDescent="0.25">
      <c r="B59" s="12" t="s">
        <v>2</v>
      </c>
      <c r="C59" s="12">
        <f t="array" ref="C59:M59">MMULT(C33:F33,AF29:AI32)</f>
        <v>0</v>
      </c>
      <c r="D59" s="12">
        <v>0.28260869565217389</v>
      </c>
      <c r="E59" s="12">
        <v>0.2608695652173913</v>
      </c>
      <c r="F59" s="12">
        <v>0.45652173913043476</v>
      </c>
      <c r="G59" s="12" t="e">
        <v>#N/A</v>
      </c>
      <c r="H59" s="12" t="e">
        <v>#N/A</v>
      </c>
      <c r="I59" s="12" t="e">
        <v>#N/A</v>
      </c>
      <c r="J59" s="12" t="e">
        <v>#N/A</v>
      </c>
      <c r="K59" s="12" t="e">
        <v>#N/A</v>
      </c>
      <c r="L59" s="12" t="e">
        <v>#N/A</v>
      </c>
      <c r="M59" s="12" t="e">
        <v>#N/A</v>
      </c>
      <c r="T59" s="5">
        <v>0.67441860465116277</v>
      </c>
      <c r="U59" s="5">
        <v>0.23255813953488372</v>
      </c>
      <c r="V59" s="5">
        <v>9.3023255813953487E-2</v>
      </c>
      <c r="AF59" s="5">
        <v>0.81395348837209303</v>
      </c>
      <c r="AG59" s="5">
        <v>0.16279069767441862</v>
      </c>
      <c r="AH59" s="5">
        <v>2.3255813953488372E-2</v>
      </c>
      <c r="AR59" s="5">
        <v>1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</row>
    <row r="60" spans="2:54" x14ac:dyDescent="0.25">
      <c r="B60" s="12" t="s">
        <v>12</v>
      </c>
      <c r="C60" s="12">
        <f t="array" ref="C60:M60">MMULT(C34:F34,AF35:AI38)</f>
        <v>0</v>
      </c>
      <c r="D60" s="12">
        <v>0.27027027027027029</v>
      </c>
      <c r="E60" s="12">
        <v>0.24324324324324326</v>
      </c>
      <c r="F60" s="12">
        <v>0.48648648648648651</v>
      </c>
      <c r="G60" s="12" t="e">
        <v>#N/A</v>
      </c>
      <c r="H60" s="12" t="e">
        <v>#N/A</v>
      </c>
      <c r="I60" s="12" t="e">
        <v>#N/A</v>
      </c>
      <c r="J60" s="12" t="e">
        <v>#N/A</v>
      </c>
      <c r="K60" s="12" t="e">
        <v>#N/A</v>
      </c>
      <c r="L60" s="12" t="e">
        <v>#N/A</v>
      </c>
      <c r="M60" s="12" t="e">
        <v>#N/A</v>
      </c>
      <c r="T60" s="5">
        <v>0.56521739130434778</v>
      </c>
      <c r="U60" s="5">
        <v>0.13043478260869565</v>
      </c>
      <c r="V60" s="5">
        <v>0.30434782608695654</v>
      </c>
      <c r="AF60" s="5">
        <v>0.69565217391304346</v>
      </c>
      <c r="AG60" s="5">
        <v>0.17391304347826086</v>
      </c>
      <c r="AH60" s="5">
        <v>0.13043478260869565</v>
      </c>
      <c r="AR60" s="5">
        <v>1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</row>
    <row r="61" spans="2:54" x14ac:dyDescent="0.25">
      <c r="B61" s="12" t="s">
        <v>11</v>
      </c>
      <c r="C61" s="12">
        <f t="array" ref="C61:M61">MMULT(C35:F35,AF41:AI44)</f>
        <v>4.1666666666666664E-2</v>
      </c>
      <c r="D61" s="12">
        <v>0.125</v>
      </c>
      <c r="E61" s="12">
        <v>0.35416666666666669</v>
      </c>
      <c r="F61" s="12">
        <v>0.47916666666666669</v>
      </c>
      <c r="G61" s="12" t="e">
        <v>#N/A</v>
      </c>
      <c r="H61" s="12" t="e">
        <v>#N/A</v>
      </c>
      <c r="I61" s="12" t="e">
        <v>#N/A</v>
      </c>
      <c r="J61" s="12" t="e">
        <v>#N/A</v>
      </c>
      <c r="K61" s="12" t="e">
        <v>#N/A</v>
      </c>
      <c r="L61" s="12" t="e">
        <v>#N/A</v>
      </c>
      <c r="M61" s="12" t="e">
        <v>#N/A</v>
      </c>
      <c r="T61" s="5">
        <v>0.33333333333333331</v>
      </c>
      <c r="U61" s="5">
        <v>0.33333333333333331</v>
      </c>
      <c r="V61" s="5">
        <v>0.33333333333333331</v>
      </c>
      <c r="AF61" s="5">
        <v>0.58333333333333337</v>
      </c>
      <c r="AG61" s="5">
        <v>0.41666666666666669</v>
      </c>
      <c r="AH61" s="5">
        <v>0</v>
      </c>
      <c r="AR61" s="5">
        <v>0.66666666666666663</v>
      </c>
      <c r="AS61" s="5">
        <v>0.33333333333333331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</row>
    <row r="62" spans="2:54" x14ac:dyDescent="0.25">
      <c r="B62" s="12" t="s">
        <v>13</v>
      </c>
      <c r="C62" s="12">
        <f t="array" ref="C62:M62">MMULT(C36:G36,AF47:AJ51)</f>
        <v>0.17647058823529413</v>
      </c>
      <c r="D62" s="12">
        <v>0.61764705882352944</v>
      </c>
      <c r="E62" s="12">
        <v>0.20588235294117646</v>
      </c>
      <c r="F62" s="12">
        <v>0</v>
      </c>
      <c r="G62" s="12">
        <v>0</v>
      </c>
      <c r="H62" s="12" t="e">
        <v>#N/A</v>
      </c>
      <c r="I62" s="12" t="e">
        <v>#N/A</v>
      </c>
      <c r="J62" s="12" t="e">
        <v>#N/A</v>
      </c>
      <c r="K62" s="12" t="e">
        <v>#N/A</v>
      </c>
      <c r="L62" s="12" t="e">
        <v>#N/A</v>
      </c>
      <c r="M62" s="12" t="e">
        <v>#N/A</v>
      </c>
      <c r="AR62" s="5">
        <v>0</v>
      </c>
      <c r="AS62" s="5">
        <v>1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0</v>
      </c>
      <c r="BA62" s="5">
        <v>0</v>
      </c>
      <c r="BB62" s="5">
        <v>0</v>
      </c>
    </row>
    <row r="63" spans="2:54" x14ac:dyDescent="0.25">
      <c r="B63" s="12" t="s">
        <v>14</v>
      </c>
      <c r="C63" s="12">
        <f t="array" ref="C63:M63">MMULT(C37:E37,AF54:AH56)</f>
        <v>0.55555555555555558</v>
      </c>
      <c r="D63" s="12">
        <v>0.33333333333333331</v>
      </c>
      <c r="E63" s="12">
        <v>0.1111111111111111</v>
      </c>
      <c r="F63" s="12" t="e">
        <v>#N/A</v>
      </c>
      <c r="G63" s="12" t="e">
        <v>#N/A</v>
      </c>
      <c r="H63" s="12" t="e">
        <v>#N/A</v>
      </c>
      <c r="I63" s="12" t="e">
        <v>#N/A</v>
      </c>
      <c r="J63" s="12" t="e">
        <v>#N/A</v>
      </c>
      <c r="K63" s="12" t="e">
        <v>#N/A</v>
      </c>
      <c r="L63" s="12" t="e">
        <v>#N/A</v>
      </c>
      <c r="M63" s="12" t="e">
        <v>#N/A</v>
      </c>
      <c r="T63" s="5" t="s">
        <v>7</v>
      </c>
      <c r="AF63" s="5" t="s">
        <v>7</v>
      </c>
      <c r="AR63" s="5">
        <v>0.33333333333333331</v>
      </c>
      <c r="AS63" s="5">
        <v>0.33333333333333331</v>
      </c>
      <c r="AT63" s="5">
        <v>0.33333333333333331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0</v>
      </c>
      <c r="BA63" s="5">
        <v>0</v>
      </c>
      <c r="BB63" s="5">
        <v>0</v>
      </c>
    </row>
    <row r="64" spans="2:54" x14ac:dyDescent="0.25">
      <c r="B64" s="12" t="s">
        <v>15</v>
      </c>
      <c r="C64" s="12">
        <f t="array" ref="C64:M64">MMULT(C38:E38,AF59:AH61)</f>
        <v>0.69565217391304346</v>
      </c>
      <c r="D64" s="12">
        <v>0.17391304347826086</v>
      </c>
      <c r="E64" s="12">
        <v>0.13043478260869565</v>
      </c>
      <c r="F64" s="12" t="e">
        <v>#N/A</v>
      </c>
      <c r="G64" s="12" t="e">
        <v>#N/A</v>
      </c>
      <c r="H64" s="12" t="e">
        <v>#N/A</v>
      </c>
      <c r="I64" s="12" t="e">
        <v>#N/A</v>
      </c>
      <c r="J64" s="12" t="e">
        <v>#N/A</v>
      </c>
      <c r="K64" s="12" t="e">
        <v>#N/A</v>
      </c>
      <c r="L64" s="12" t="e">
        <v>#N/A</v>
      </c>
      <c r="M64" s="12" t="e">
        <v>#N/A</v>
      </c>
      <c r="T64" s="5">
        <v>0.36842105263157893</v>
      </c>
      <c r="U64" s="5">
        <v>0.42105263157894735</v>
      </c>
      <c r="V64" s="5">
        <v>0.21052631578947367</v>
      </c>
      <c r="AF64" s="5">
        <v>0.42105263157894735</v>
      </c>
      <c r="AG64" s="5">
        <v>0.47368421052631576</v>
      </c>
      <c r="AH64" s="5">
        <v>0.10526315789473684</v>
      </c>
      <c r="AR64" s="5">
        <v>0.47058823529411764</v>
      </c>
      <c r="AS64" s="5">
        <v>0.41176470588235292</v>
      </c>
      <c r="AT64" s="5">
        <v>0.11764705882352941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0</v>
      </c>
      <c r="BA64" s="5">
        <v>0</v>
      </c>
      <c r="BB64" s="5">
        <v>0</v>
      </c>
    </row>
    <row r="65" spans="2:54" x14ac:dyDescent="0.25">
      <c r="B65" s="12" t="s">
        <v>18</v>
      </c>
      <c r="C65" s="12" t="e">
        <f t="array" ref="C65:M65">MMULT(C39:E39,AF64:AH66)</f>
        <v>#REF!</v>
      </c>
      <c r="D65" s="12" t="e">
        <v>#REF!</v>
      </c>
      <c r="E65" s="12" t="e">
        <v>#REF!</v>
      </c>
      <c r="F65" s="12" t="e">
        <v>#REF!</v>
      </c>
      <c r="G65" s="12" t="e">
        <v>#REF!</v>
      </c>
      <c r="H65" s="12" t="e">
        <v>#REF!</v>
      </c>
      <c r="I65" s="12" t="e">
        <v>#REF!</v>
      </c>
      <c r="J65" s="12" t="e">
        <v>#REF!</v>
      </c>
      <c r="K65" s="12" t="e">
        <v>#REF!</v>
      </c>
      <c r="L65" s="12" t="e">
        <v>#REF!</v>
      </c>
      <c r="M65" s="12" t="e">
        <v>#REF!</v>
      </c>
      <c r="T65" s="5">
        <v>0.32</v>
      </c>
      <c r="U65" s="5">
        <v>0.4</v>
      </c>
      <c r="V65" s="5">
        <v>0.28000000000000003</v>
      </c>
      <c r="AF65" s="5">
        <v>0.36</v>
      </c>
      <c r="AG65" s="5">
        <v>0.52</v>
      </c>
      <c r="AH65" s="5">
        <v>0.12</v>
      </c>
      <c r="AR65" s="5">
        <v>0.35294117647058826</v>
      </c>
      <c r="AS65" s="5">
        <v>0.52941176470588236</v>
      </c>
      <c r="AT65" s="5">
        <v>5.8823529411764705E-2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5.8823529411764705E-2</v>
      </c>
      <c r="BA65" s="5">
        <v>0</v>
      </c>
      <c r="BB65" s="5">
        <v>0</v>
      </c>
    </row>
    <row r="66" spans="2:54" x14ac:dyDescent="0.25">
      <c r="B66" s="12" t="s">
        <v>19</v>
      </c>
      <c r="C66" s="12" t="e">
        <f t="array" ref="C66:M66">MMULT(C40:E40,AF69:AH71)</f>
        <v>#REF!</v>
      </c>
      <c r="D66" s="12" t="e">
        <v>#REF!</v>
      </c>
      <c r="E66" s="12" t="e">
        <v>#REF!</v>
      </c>
      <c r="F66" s="12" t="e">
        <v>#REF!</v>
      </c>
      <c r="G66" s="12" t="e">
        <v>#REF!</v>
      </c>
      <c r="H66" s="12" t="e">
        <v>#REF!</v>
      </c>
      <c r="I66" s="12" t="e">
        <v>#REF!</v>
      </c>
      <c r="J66" s="12" t="e">
        <v>#REF!</v>
      </c>
      <c r="K66" s="12" t="e">
        <v>#REF!</v>
      </c>
      <c r="L66" s="12" t="e">
        <v>#REF!</v>
      </c>
      <c r="M66" s="12" t="e">
        <v>#REF!</v>
      </c>
      <c r="T66" s="5">
        <v>0.38235294117647056</v>
      </c>
      <c r="U66" s="5">
        <v>0.23529411764705882</v>
      </c>
      <c r="V66" s="5">
        <v>0.38235294117647056</v>
      </c>
      <c r="AF66" s="5">
        <v>0.3235294117647059</v>
      </c>
      <c r="AG66" s="5">
        <v>0.58823529411764708</v>
      </c>
      <c r="AH66" s="5">
        <v>8.8235294117647065E-2</v>
      </c>
      <c r="AR66" s="5">
        <v>0.4</v>
      </c>
      <c r="AS66" s="5">
        <v>0.36666666666666664</v>
      </c>
      <c r="AT66" s="5">
        <v>0.13333333333333333</v>
      </c>
      <c r="AU66" s="5">
        <v>3.3333333333333333E-2</v>
      </c>
      <c r="AV66" s="5">
        <v>0</v>
      </c>
      <c r="AW66" s="5">
        <v>0</v>
      </c>
      <c r="AX66" s="5">
        <v>3.3333333333333333E-2</v>
      </c>
      <c r="AY66" s="5">
        <v>0</v>
      </c>
      <c r="AZ66" s="5">
        <v>3.3333333333333333E-2</v>
      </c>
      <c r="BA66" s="5">
        <v>0</v>
      </c>
      <c r="BB66" s="5">
        <v>0</v>
      </c>
    </row>
    <row r="67" spans="2:54" x14ac:dyDescent="0.25">
      <c r="B67" s="12" t="s">
        <v>9</v>
      </c>
      <c r="C67" s="12">
        <f t="array" ref="C67:M67">MMULT(C41:F41,AF74:AI77)</f>
        <v>1</v>
      </c>
      <c r="D67" s="12">
        <v>0</v>
      </c>
      <c r="E67" s="12">
        <v>0</v>
      </c>
      <c r="F67" s="12">
        <v>0</v>
      </c>
      <c r="G67" s="12" t="e">
        <v>#N/A</v>
      </c>
      <c r="H67" s="12" t="e">
        <v>#N/A</v>
      </c>
      <c r="I67" s="12" t="e">
        <v>#N/A</v>
      </c>
      <c r="J67" s="12" t="e">
        <v>#N/A</v>
      </c>
      <c r="K67" s="12" t="e">
        <v>#N/A</v>
      </c>
      <c r="L67" s="12" t="e">
        <v>#N/A</v>
      </c>
      <c r="M67" s="12" t="e">
        <v>#N/A</v>
      </c>
    </row>
    <row r="68" spans="2:54" x14ac:dyDescent="0.25">
      <c r="T68" s="5" t="s">
        <v>8</v>
      </c>
      <c r="AF68" s="5" t="s">
        <v>8</v>
      </c>
      <c r="AR68" s="5" t="s">
        <v>162</v>
      </c>
    </row>
    <row r="69" spans="2:54" x14ac:dyDescent="0.25">
      <c r="T69" s="5">
        <v>0.16666666666666666</v>
      </c>
      <c r="U69" s="5">
        <v>0.33333333333333331</v>
      </c>
      <c r="V69" s="5">
        <v>0.5</v>
      </c>
      <c r="AF69" s="5">
        <v>0.16666666666666666</v>
      </c>
      <c r="AG69" s="5">
        <v>0.66666666666666663</v>
      </c>
      <c r="AH69" s="5">
        <v>0.16666666666666666</v>
      </c>
      <c r="AR69" s="5">
        <v>0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0</v>
      </c>
      <c r="BA69" s="5">
        <v>0</v>
      </c>
      <c r="BB69" s="5">
        <v>0</v>
      </c>
    </row>
    <row r="70" spans="2:54" x14ac:dyDescent="0.25">
      <c r="B70" s="207" t="s">
        <v>82</v>
      </c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9"/>
      <c r="T70" s="5">
        <v>0</v>
      </c>
      <c r="U70" s="5">
        <v>0.33333333333333331</v>
      </c>
      <c r="V70" s="5">
        <v>0.66666666666666663</v>
      </c>
      <c r="AF70" s="5">
        <v>0.33333333333333331</v>
      </c>
      <c r="AG70" s="5">
        <v>0.44444444444444442</v>
      </c>
      <c r="AH70" s="5">
        <v>0.22222222222222221</v>
      </c>
      <c r="AR70" s="5">
        <v>0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0</v>
      </c>
      <c r="BA70" s="5">
        <v>0</v>
      </c>
      <c r="BB70" s="5">
        <v>0</v>
      </c>
    </row>
    <row r="71" spans="2:54" x14ac:dyDescent="0.25">
      <c r="B71" s="10" t="s">
        <v>21</v>
      </c>
      <c r="C71" s="10">
        <f>IF(C31=1,1,0)</f>
        <v>0</v>
      </c>
      <c r="D71" s="10">
        <f>IF(C71&lt;&gt;0,-1,IF(D31=1,1,0))</f>
        <v>0</v>
      </c>
      <c r="E71" s="10">
        <f t="shared" ref="E71:M71" si="16">IF(D71&lt;&gt;0,-1,IF(E31=1,1,0))</f>
        <v>0</v>
      </c>
      <c r="F71" s="10">
        <f t="shared" si="16"/>
        <v>0</v>
      </c>
      <c r="G71" s="10">
        <f t="shared" si="16"/>
        <v>0</v>
      </c>
      <c r="H71" s="10">
        <f t="shared" si="16"/>
        <v>1</v>
      </c>
      <c r="I71" s="10">
        <f t="shared" si="16"/>
        <v>-1</v>
      </c>
      <c r="J71" s="10">
        <f t="shared" si="16"/>
        <v>-1</v>
      </c>
      <c r="K71" s="10">
        <f t="shared" si="16"/>
        <v>-1</v>
      </c>
      <c r="L71" s="10">
        <f t="shared" si="16"/>
        <v>-1</v>
      </c>
      <c r="M71" s="10">
        <f t="shared" si="16"/>
        <v>-1</v>
      </c>
      <c r="O71" s="5" t="s">
        <v>86</v>
      </c>
      <c r="T71" s="5">
        <v>9.5238095238095233E-2</v>
      </c>
      <c r="U71" s="5">
        <v>0.23809523809523808</v>
      </c>
      <c r="V71" s="5">
        <v>0.66666666666666663</v>
      </c>
      <c r="AF71" s="5">
        <v>0.2857142857142857</v>
      </c>
      <c r="AG71" s="5">
        <v>0.47619047619047616</v>
      </c>
      <c r="AH71" s="5">
        <v>0.23809523809523808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0</v>
      </c>
      <c r="BA71" s="5">
        <v>0</v>
      </c>
      <c r="BB71" s="5">
        <v>0</v>
      </c>
    </row>
    <row r="72" spans="2:54" x14ac:dyDescent="0.25">
      <c r="B72" s="10" t="s">
        <v>20</v>
      </c>
      <c r="C72" s="10">
        <f t="shared" ref="C72:C81" si="17">IF(C32=1,1,0)</f>
        <v>0</v>
      </c>
      <c r="D72" s="10">
        <f t="shared" ref="D72:M72" si="18">IF(C72&lt;&gt;0,-1,IF(D32=1,1,0))</f>
        <v>0</v>
      </c>
      <c r="E72" s="10">
        <f t="shared" si="18"/>
        <v>0</v>
      </c>
      <c r="F72" s="10">
        <f t="shared" si="18"/>
        <v>0</v>
      </c>
      <c r="G72" s="10">
        <f t="shared" si="18"/>
        <v>0</v>
      </c>
      <c r="H72" s="10">
        <f t="shared" si="18"/>
        <v>0</v>
      </c>
      <c r="I72" s="10">
        <f t="shared" si="18"/>
        <v>0</v>
      </c>
      <c r="J72" s="10">
        <f t="shared" si="18"/>
        <v>0</v>
      </c>
      <c r="K72" s="10">
        <f t="shared" si="18"/>
        <v>0</v>
      </c>
      <c r="L72" s="10">
        <f t="shared" si="18"/>
        <v>1</v>
      </c>
      <c r="M72" s="10">
        <f t="shared" si="18"/>
        <v>-1</v>
      </c>
      <c r="O72" s="5" t="s">
        <v>86</v>
      </c>
      <c r="AR72" s="5">
        <v>1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</row>
    <row r="73" spans="2:54" x14ac:dyDescent="0.25">
      <c r="B73" s="10" t="s">
        <v>2</v>
      </c>
      <c r="C73" s="10">
        <f t="shared" si="17"/>
        <v>0</v>
      </c>
      <c r="D73" s="10">
        <f t="shared" ref="D73:M73" si="19">IF(C73&lt;&gt;0,-1,IF(D33=1,1,0))</f>
        <v>1</v>
      </c>
      <c r="E73" s="10">
        <f t="shared" si="19"/>
        <v>-1</v>
      </c>
      <c r="F73" s="10">
        <f t="shared" si="19"/>
        <v>-1</v>
      </c>
      <c r="G73" s="10">
        <f t="shared" si="19"/>
        <v>-1</v>
      </c>
      <c r="H73" s="10">
        <f t="shared" si="19"/>
        <v>-1</v>
      </c>
      <c r="I73" s="10">
        <f t="shared" si="19"/>
        <v>-1</v>
      </c>
      <c r="J73" s="10">
        <f t="shared" si="19"/>
        <v>-1</v>
      </c>
      <c r="K73" s="10">
        <f t="shared" si="19"/>
        <v>-1</v>
      </c>
      <c r="L73" s="10">
        <f t="shared" si="19"/>
        <v>-1</v>
      </c>
      <c r="M73" s="10">
        <f t="shared" si="19"/>
        <v>-1</v>
      </c>
      <c r="O73" s="5" t="s">
        <v>87</v>
      </c>
      <c r="T73" s="5" t="s">
        <v>10</v>
      </c>
      <c r="AF73" s="5" t="s">
        <v>10</v>
      </c>
      <c r="AR73" s="5">
        <v>1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0</v>
      </c>
      <c r="BA73" s="5">
        <v>0</v>
      </c>
      <c r="BB73" s="5">
        <v>0</v>
      </c>
    </row>
    <row r="74" spans="2:54" x14ac:dyDescent="0.25">
      <c r="B74" s="10" t="s">
        <v>12</v>
      </c>
      <c r="C74" s="10">
        <f t="shared" si="17"/>
        <v>0</v>
      </c>
      <c r="D74" s="10">
        <f t="shared" ref="D74:M74" si="20">IF(C74&lt;&gt;0,-1,IF(D34=1,1,0))</f>
        <v>1</v>
      </c>
      <c r="E74" s="10">
        <f t="shared" si="20"/>
        <v>-1</v>
      </c>
      <c r="F74" s="10">
        <f t="shared" si="20"/>
        <v>-1</v>
      </c>
      <c r="G74" s="10">
        <f t="shared" si="20"/>
        <v>-1</v>
      </c>
      <c r="H74" s="10">
        <f t="shared" si="20"/>
        <v>-1</v>
      </c>
      <c r="I74" s="10">
        <f t="shared" si="20"/>
        <v>-1</v>
      </c>
      <c r="J74" s="10">
        <f t="shared" si="20"/>
        <v>-1</v>
      </c>
      <c r="K74" s="10">
        <f t="shared" si="20"/>
        <v>-1</v>
      </c>
      <c r="L74" s="10">
        <f t="shared" si="20"/>
        <v>-1</v>
      </c>
      <c r="M74" s="10">
        <f t="shared" si="20"/>
        <v>-1</v>
      </c>
      <c r="O74" s="5" t="s">
        <v>87</v>
      </c>
      <c r="T74" s="5">
        <v>0.8392857142857143</v>
      </c>
      <c r="U74" s="5">
        <v>0</v>
      </c>
      <c r="V74" s="5">
        <v>0.10714285714285714</v>
      </c>
      <c r="W74" s="5">
        <v>5.3571428571428568E-2</v>
      </c>
      <c r="AF74" s="5">
        <v>0.8392857142857143</v>
      </c>
      <c r="AG74" s="5">
        <v>0.125</v>
      </c>
      <c r="AH74" s="5">
        <v>3.5714285714285712E-2</v>
      </c>
      <c r="AI74" s="5">
        <v>0</v>
      </c>
      <c r="AR74" s="5">
        <v>0</v>
      </c>
      <c r="AS74" s="5">
        <v>0.66666666666666663</v>
      </c>
      <c r="AT74" s="5">
        <v>0.33333333333333331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0</v>
      </c>
      <c r="BA74" s="5">
        <v>0</v>
      </c>
      <c r="BB74" s="5">
        <v>0</v>
      </c>
    </row>
    <row r="75" spans="2:54" x14ac:dyDescent="0.25">
      <c r="B75" s="10" t="s">
        <v>11</v>
      </c>
      <c r="C75" s="10">
        <f t="shared" si="17"/>
        <v>0</v>
      </c>
      <c r="D75" s="10">
        <f t="shared" ref="D75:M75" si="21">IF(C75&lt;&gt;0,-1,IF(D35=1,1,0))</f>
        <v>1</v>
      </c>
      <c r="E75" s="10">
        <f t="shared" si="21"/>
        <v>-1</v>
      </c>
      <c r="F75" s="10">
        <f t="shared" si="21"/>
        <v>-1</v>
      </c>
      <c r="G75" s="10">
        <f t="shared" si="21"/>
        <v>-1</v>
      </c>
      <c r="H75" s="10">
        <f t="shared" si="21"/>
        <v>-1</v>
      </c>
      <c r="I75" s="10">
        <f t="shared" si="21"/>
        <v>-1</v>
      </c>
      <c r="J75" s="10">
        <f t="shared" si="21"/>
        <v>-1</v>
      </c>
      <c r="K75" s="10">
        <f t="shared" si="21"/>
        <v>-1</v>
      </c>
      <c r="L75" s="10">
        <f t="shared" si="21"/>
        <v>-1</v>
      </c>
      <c r="M75" s="10">
        <f t="shared" si="21"/>
        <v>-1</v>
      </c>
      <c r="O75" s="5" t="s">
        <v>87</v>
      </c>
      <c r="T75" s="5">
        <v>0.63636363636363635</v>
      </c>
      <c r="U75" s="5">
        <v>9.0909090909090912E-2</v>
      </c>
      <c r="V75" s="5">
        <v>0.18181818181818182</v>
      </c>
      <c r="W75" s="5">
        <v>9.0909090909090912E-2</v>
      </c>
      <c r="AF75" s="5">
        <v>0.54545454545454541</v>
      </c>
      <c r="AG75" s="5">
        <v>0.18181818181818182</v>
      </c>
      <c r="AH75" s="5">
        <v>0.27272727272727271</v>
      </c>
      <c r="AI75" s="5">
        <v>0</v>
      </c>
      <c r="AR75" s="5">
        <v>0</v>
      </c>
      <c r="AS75" s="5">
        <v>1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0</v>
      </c>
      <c r="BA75" s="5">
        <v>0</v>
      </c>
      <c r="BB75" s="5">
        <v>0</v>
      </c>
    </row>
    <row r="76" spans="2:54" x14ac:dyDescent="0.25">
      <c r="B76" s="10" t="s">
        <v>13</v>
      </c>
      <c r="C76" s="10">
        <f t="shared" si="17"/>
        <v>0</v>
      </c>
      <c r="D76" s="10">
        <f t="shared" ref="D76:M76" si="22">IF(C76&lt;&gt;0,-1,IF(D36=1,1,0))</f>
        <v>0</v>
      </c>
      <c r="E76" s="10">
        <f t="shared" si="22"/>
        <v>1</v>
      </c>
      <c r="F76" s="10">
        <f t="shared" si="22"/>
        <v>-1</v>
      </c>
      <c r="G76" s="10">
        <f t="shared" si="22"/>
        <v>-1</v>
      </c>
      <c r="H76" s="10">
        <f t="shared" si="22"/>
        <v>-1</v>
      </c>
      <c r="I76" s="10">
        <f t="shared" si="22"/>
        <v>-1</v>
      </c>
      <c r="J76" s="10">
        <f t="shared" si="22"/>
        <v>-1</v>
      </c>
      <c r="K76" s="10">
        <f t="shared" si="22"/>
        <v>-1</v>
      </c>
      <c r="L76" s="10">
        <f t="shared" si="22"/>
        <v>-1</v>
      </c>
      <c r="M76" s="10">
        <f t="shared" si="22"/>
        <v>-1</v>
      </c>
      <c r="O76" s="5" t="s">
        <v>86</v>
      </c>
      <c r="T76" s="5">
        <v>0.44444444444444442</v>
      </c>
      <c r="U76" s="5">
        <v>0.22222222222222221</v>
      </c>
      <c r="V76" s="5">
        <v>0.1111111111111111</v>
      </c>
      <c r="W76" s="5">
        <v>0.22222222222222221</v>
      </c>
      <c r="AF76" s="5">
        <v>0.55555555555555558</v>
      </c>
      <c r="AG76" s="5">
        <v>0.33333333333333331</v>
      </c>
      <c r="AH76" s="5">
        <v>0</v>
      </c>
      <c r="AI76" s="5">
        <v>0.1111111111111111</v>
      </c>
      <c r="AR76" s="5">
        <v>0.33333333333333331</v>
      </c>
      <c r="AS76" s="5">
        <v>0.66666666666666663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0</v>
      </c>
      <c r="BA76" s="5">
        <v>0</v>
      </c>
      <c r="BB76" s="5">
        <v>0</v>
      </c>
    </row>
    <row r="77" spans="2:54" x14ac:dyDescent="0.25">
      <c r="B77" s="10" t="s">
        <v>14</v>
      </c>
      <c r="C77" s="10">
        <f t="shared" si="17"/>
        <v>0</v>
      </c>
      <c r="D77" s="10">
        <f t="shared" ref="D77:M77" si="23">IF(C77&lt;&gt;0,-1,IF(D37=1,1,0))</f>
        <v>0</v>
      </c>
      <c r="E77" s="10">
        <f t="shared" si="23"/>
        <v>1</v>
      </c>
      <c r="F77" s="10">
        <f t="shared" si="23"/>
        <v>-1</v>
      </c>
      <c r="G77" s="10">
        <f t="shared" si="23"/>
        <v>-1</v>
      </c>
      <c r="H77" s="10">
        <f t="shared" si="23"/>
        <v>-1</v>
      </c>
      <c r="I77" s="10">
        <f t="shared" si="23"/>
        <v>-1</v>
      </c>
      <c r="J77" s="10">
        <f t="shared" si="23"/>
        <v>-1</v>
      </c>
      <c r="K77" s="10">
        <f t="shared" si="23"/>
        <v>-1</v>
      </c>
      <c r="L77" s="10">
        <f t="shared" si="23"/>
        <v>-1</v>
      </c>
      <c r="M77" s="10">
        <f t="shared" si="23"/>
        <v>-1</v>
      </c>
      <c r="O77" s="5" t="s">
        <v>86</v>
      </c>
      <c r="T77" s="5">
        <v>0.5</v>
      </c>
      <c r="U77" s="5">
        <v>0</v>
      </c>
      <c r="V77" s="5">
        <v>0.5</v>
      </c>
      <c r="W77" s="5">
        <v>0</v>
      </c>
      <c r="AF77" s="5">
        <v>1</v>
      </c>
      <c r="AG77" s="5">
        <v>0</v>
      </c>
      <c r="AH77" s="5">
        <v>0</v>
      </c>
      <c r="AI77" s="5">
        <v>0</v>
      </c>
      <c r="AR77" s="5">
        <v>0.47058823529411764</v>
      </c>
      <c r="AS77" s="5">
        <v>0.29411764705882354</v>
      </c>
      <c r="AT77" s="5">
        <v>0.23529411764705882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0</v>
      </c>
      <c r="BA77" s="5">
        <v>0</v>
      </c>
      <c r="BB77" s="5">
        <v>0</v>
      </c>
    </row>
    <row r="78" spans="2:54" x14ac:dyDescent="0.25">
      <c r="B78" s="10" t="s">
        <v>15</v>
      </c>
      <c r="C78" s="10">
        <f t="shared" si="17"/>
        <v>0</v>
      </c>
      <c r="D78" s="10">
        <f t="shared" ref="D78:M78" si="24">IF(C78&lt;&gt;0,-1,IF(D38=1,1,0))</f>
        <v>1</v>
      </c>
      <c r="E78" s="10">
        <f t="shared" si="24"/>
        <v>-1</v>
      </c>
      <c r="F78" s="10">
        <f t="shared" si="24"/>
        <v>-1</v>
      </c>
      <c r="G78" s="10">
        <f t="shared" si="24"/>
        <v>-1</v>
      </c>
      <c r="H78" s="10">
        <f t="shared" si="24"/>
        <v>-1</v>
      </c>
      <c r="I78" s="10">
        <f t="shared" si="24"/>
        <v>-1</v>
      </c>
      <c r="J78" s="10">
        <f t="shared" si="24"/>
        <v>-1</v>
      </c>
      <c r="K78" s="10">
        <f t="shared" si="24"/>
        <v>-1</v>
      </c>
      <c r="L78" s="10">
        <f t="shared" si="24"/>
        <v>-1</v>
      </c>
      <c r="M78" s="10">
        <f t="shared" si="24"/>
        <v>-1</v>
      </c>
      <c r="O78" s="5" t="s">
        <v>86</v>
      </c>
      <c r="AR78" s="5">
        <v>0.29411764705882354</v>
      </c>
      <c r="AS78" s="5">
        <v>0.6470588235294118</v>
      </c>
      <c r="AT78" s="5">
        <v>0</v>
      </c>
      <c r="AU78" s="5">
        <v>5.8823529411764705E-2</v>
      </c>
      <c r="AV78" s="5">
        <v>0</v>
      </c>
      <c r="AW78" s="5">
        <v>0</v>
      </c>
      <c r="AX78" s="5">
        <v>0</v>
      </c>
      <c r="AY78" s="5">
        <v>0</v>
      </c>
      <c r="AZ78" s="5">
        <v>0</v>
      </c>
      <c r="BA78" s="5">
        <v>0</v>
      </c>
      <c r="BB78" s="5">
        <v>0</v>
      </c>
    </row>
    <row r="79" spans="2:54" x14ac:dyDescent="0.25">
      <c r="B79" s="10" t="s">
        <v>18</v>
      </c>
      <c r="C79" s="10" t="e">
        <f t="shared" si="17"/>
        <v>#REF!</v>
      </c>
      <c r="D79" s="10" t="e">
        <f t="shared" ref="D79:M79" si="25">IF(C79&lt;&gt;0,-1,IF(D39=1,1,0))</f>
        <v>#REF!</v>
      </c>
      <c r="E79" s="10" t="e">
        <f t="shared" si="25"/>
        <v>#REF!</v>
      </c>
      <c r="F79" s="10" t="e">
        <f t="shared" si="25"/>
        <v>#REF!</v>
      </c>
      <c r="G79" s="10" t="e">
        <f t="shared" si="25"/>
        <v>#REF!</v>
      </c>
      <c r="H79" s="10" t="e">
        <f t="shared" si="25"/>
        <v>#REF!</v>
      </c>
      <c r="I79" s="10" t="e">
        <f t="shared" si="25"/>
        <v>#REF!</v>
      </c>
      <c r="J79" s="10" t="e">
        <f t="shared" si="25"/>
        <v>#REF!</v>
      </c>
      <c r="K79" s="10" t="e">
        <f t="shared" si="25"/>
        <v>#REF!</v>
      </c>
      <c r="L79" s="10" t="e">
        <f t="shared" si="25"/>
        <v>#REF!</v>
      </c>
      <c r="M79" s="10" t="e">
        <f t="shared" si="25"/>
        <v>#REF!</v>
      </c>
      <c r="O79" s="5" t="s">
        <v>86</v>
      </c>
      <c r="AR79" s="5">
        <v>0.4</v>
      </c>
      <c r="AS79" s="5">
        <v>0.43333333333333335</v>
      </c>
      <c r="AT79" s="5">
        <v>0.1</v>
      </c>
      <c r="AU79" s="5">
        <v>6.6666666666666666E-2</v>
      </c>
      <c r="AV79" s="5">
        <v>0</v>
      </c>
      <c r="AW79" s="5">
        <v>0</v>
      </c>
      <c r="AX79" s="5">
        <v>0</v>
      </c>
      <c r="AY79" s="5">
        <v>0</v>
      </c>
      <c r="AZ79" s="5">
        <v>0</v>
      </c>
      <c r="BA79" s="5">
        <v>0</v>
      </c>
      <c r="BB79" s="5">
        <v>0</v>
      </c>
    </row>
    <row r="80" spans="2:54" x14ac:dyDescent="0.25">
      <c r="B80" s="10" t="s">
        <v>19</v>
      </c>
      <c r="C80" s="10" t="e">
        <f t="shared" si="17"/>
        <v>#REF!</v>
      </c>
      <c r="D80" s="10" t="e">
        <f t="shared" ref="D80:M80" si="26">IF(C80&lt;&gt;0,-1,IF(D40=1,1,0))</f>
        <v>#REF!</v>
      </c>
      <c r="E80" s="10" t="e">
        <f t="shared" si="26"/>
        <v>#REF!</v>
      </c>
      <c r="F80" s="10" t="e">
        <f t="shared" si="26"/>
        <v>#REF!</v>
      </c>
      <c r="G80" s="10" t="e">
        <f t="shared" si="26"/>
        <v>#REF!</v>
      </c>
      <c r="H80" s="10" t="e">
        <f t="shared" si="26"/>
        <v>#REF!</v>
      </c>
      <c r="I80" s="10" t="e">
        <f t="shared" si="26"/>
        <v>#REF!</v>
      </c>
      <c r="J80" s="10" t="e">
        <f t="shared" si="26"/>
        <v>#REF!</v>
      </c>
      <c r="K80" s="10" t="e">
        <f t="shared" si="26"/>
        <v>#REF!</v>
      </c>
      <c r="L80" s="10" t="e">
        <f t="shared" si="26"/>
        <v>#REF!</v>
      </c>
      <c r="M80" s="10" t="e">
        <f t="shared" si="26"/>
        <v>#REF!</v>
      </c>
      <c r="O80" s="5" t="s">
        <v>86</v>
      </c>
    </row>
    <row r="81" spans="2:15" x14ac:dyDescent="0.25">
      <c r="B81" s="10" t="s">
        <v>9</v>
      </c>
      <c r="C81" s="10">
        <f t="shared" si="17"/>
        <v>0</v>
      </c>
      <c r="D81" s="10">
        <f t="shared" ref="D81:M81" si="27">IF(C81&lt;&gt;0,-1,IF(D41=1,1,0))</f>
        <v>0</v>
      </c>
      <c r="E81" s="10">
        <f t="shared" si="27"/>
        <v>0</v>
      </c>
      <c r="F81" s="10">
        <f t="shared" si="27"/>
        <v>1</v>
      </c>
      <c r="G81" s="10">
        <f t="shared" si="27"/>
        <v>-1</v>
      </c>
      <c r="H81" s="10">
        <f t="shared" si="27"/>
        <v>-1</v>
      </c>
      <c r="I81" s="10">
        <f t="shared" si="27"/>
        <v>-1</v>
      </c>
      <c r="J81" s="10">
        <f t="shared" si="27"/>
        <v>-1</v>
      </c>
      <c r="K81" s="10">
        <f t="shared" si="27"/>
        <v>-1</v>
      </c>
      <c r="L81" s="10">
        <f t="shared" si="27"/>
        <v>-1</v>
      </c>
      <c r="M81" s="10">
        <f t="shared" si="27"/>
        <v>-1</v>
      </c>
      <c r="O81" s="5" t="s">
        <v>86</v>
      </c>
    </row>
    <row r="83" spans="2:15" x14ac:dyDescent="0.25">
      <c r="B83" s="24" t="s">
        <v>89</v>
      </c>
      <c r="C83" s="25"/>
      <c r="D83" s="25"/>
      <c r="E83" s="25"/>
      <c r="F83" s="20"/>
      <c r="H83" s="20"/>
      <c r="I83" s="24" t="s">
        <v>183</v>
      </c>
      <c r="J83" s="25"/>
      <c r="K83" s="25"/>
      <c r="L83" s="25"/>
      <c r="M83" s="21"/>
      <c r="O83" s="20" t="s">
        <v>90</v>
      </c>
    </row>
    <row r="84" spans="2:15" x14ac:dyDescent="0.25">
      <c r="B84" s="26"/>
      <c r="C84" s="27" t="s">
        <v>83</v>
      </c>
      <c r="D84" s="27" t="s">
        <v>84</v>
      </c>
      <c r="E84" s="27" t="s">
        <v>85</v>
      </c>
      <c r="F84" s="22"/>
      <c r="G84" s="20" t="s">
        <v>90</v>
      </c>
      <c r="H84" s="22"/>
      <c r="I84" s="26"/>
      <c r="J84" s="27" t="s">
        <v>83</v>
      </c>
      <c r="K84" s="27" t="s">
        <v>84</v>
      </c>
      <c r="L84" s="27" t="s">
        <v>85</v>
      </c>
      <c r="M84" s="22"/>
      <c r="O84" s="22">
        <f>SUM(J84:L84)</f>
        <v>0</v>
      </c>
    </row>
    <row r="85" spans="2:15" x14ac:dyDescent="0.25">
      <c r="B85" s="28" t="s">
        <v>21</v>
      </c>
      <c r="C85" s="29">
        <f>SUMIF(C71:M71,"=0",C112:M112)</f>
        <v>1</v>
      </c>
      <c r="D85" s="29">
        <f>SUMIF(C71:M71,"=1",C112:M112)</f>
        <v>0</v>
      </c>
      <c r="E85" s="29">
        <f>SUMIF(C71:M71,"=-1",C112:M112)</f>
        <v>0</v>
      </c>
      <c r="F85" s="23"/>
      <c r="G85" s="22">
        <f t="shared" ref="G85:G94" si="28">SUM(C85:E85)</f>
        <v>1</v>
      </c>
      <c r="H85" s="23"/>
      <c r="I85" s="28" t="s">
        <v>21</v>
      </c>
      <c r="J85" s="29">
        <f>SUMIF(C71:M71,"=0",C138:M138)</f>
        <v>1</v>
      </c>
      <c r="K85" s="29">
        <f>SUMIF(C71:M71,"=1",C138:M138)</f>
        <v>0</v>
      </c>
      <c r="L85" s="29">
        <f>SUMIF(C71:M71,"=-1",C138:M138)</f>
        <v>0</v>
      </c>
      <c r="M85" s="23"/>
      <c r="O85" s="22">
        <f t="shared" ref="O85:O97" si="29">SUM(J85:L85)</f>
        <v>1</v>
      </c>
    </row>
    <row r="86" spans="2:15" x14ac:dyDescent="0.25">
      <c r="B86" s="28" t="s">
        <v>20</v>
      </c>
      <c r="C86" s="29">
        <f t="shared" ref="C86:C95" si="30">SUMIF(C72:M72,"=0",C113:M113)</f>
        <v>1</v>
      </c>
      <c r="D86" s="29">
        <f t="shared" ref="D86:D95" si="31">SUMIF(C72:M72,"=1",C113:M113)</f>
        <v>0</v>
      </c>
      <c r="E86" s="29">
        <f t="shared" ref="E86:E95" si="32">SUMIF(C72:M72,"=-1",C113:M113)</f>
        <v>0</v>
      </c>
      <c r="F86" s="23"/>
      <c r="G86" s="22">
        <f t="shared" si="28"/>
        <v>1</v>
      </c>
      <c r="H86" s="23"/>
      <c r="I86" s="28" t="s">
        <v>20</v>
      </c>
      <c r="J86" s="29">
        <f>SUMIF(C72:M72,"=0",C139:M139)</f>
        <v>1</v>
      </c>
      <c r="K86" s="29">
        <f>SUMIF(C72:M72,"=1",C139:M139)</f>
        <v>0</v>
      </c>
      <c r="L86" s="29">
        <f>SUMIF(C72:M72,"=-1",C139:M139)</f>
        <v>0</v>
      </c>
      <c r="M86" s="23"/>
      <c r="O86" s="22">
        <f t="shared" si="29"/>
        <v>1</v>
      </c>
    </row>
    <row r="87" spans="2:15" x14ac:dyDescent="0.25">
      <c r="B87" s="28" t="s">
        <v>2</v>
      </c>
      <c r="C87" s="29">
        <f>SUMIF(C73:M73,"=-1",C114:M114)</f>
        <v>0.45652173913043481</v>
      </c>
      <c r="D87" s="29">
        <f t="shared" si="31"/>
        <v>0.54347826086956519</v>
      </c>
      <c r="E87" s="29">
        <f>SUMIF(C73:M73,"=0",C114:M114)</f>
        <v>0</v>
      </c>
      <c r="F87" s="23"/>
      <c r="G87" s="22">
        <f t="shared" si="28"/>
        <v>1</v>
      </c>
      <c r="H87" s="23"/>
      <c r="I87" s="23"/>
      <c r="J87" s="23"/>
      <c r="K87" s="23"/>
      <c r="L87" s="23"/>
      <c r="M87" s="23"/>
      <c r="O87" s="22">
        <f t="shared" si="29"/>
        <v>0</v>
      </c>
    </row>
    <row r="88" spans="2:15" x14ac:dyDescent="0.25">
      <c r="B88" s="28" t="s">
        <v>12</v>
      </c>
      <c r="C88" s="29">
        <f>SUMIF(C74:M74,"=-1",C115:M115)</f>
        <v>0.43243243243243246</v>
      </c>
      <c r="D88" s="29">
        <f t="shared" si="31"/>
        <v>0.56756756756756754</v>
      </c>
      <c r="E88" s="29">
        <f>SUMIF(C74:M74,"=0",C115:M115)</f>
        <v>0</v>
      </c>
      <c r="F88" s="23"/>
      <c r="G88" s="22">
        <f t="shared" si="28"/>
        <v>1</v>
      </c>
      <c r="H88" s="23"/>
      <c r="I88" s="24" t="s">
        <v>184</v>
      </c>
      <c r="J88" s="25"/>
      <c r="K88" s="25"/>
      <c r="L88" s="25"/>
      <c r="M88" s="23"/>
      <c r="O88" s="22">
        <f t="shared" si="29"/>
        <v>0</v>
      </c>
    </row>
    <row r="89" spans="2:15" x14ac:dyDescent="0.25">
      <c r="B89" s="28" t="s">
        <v>11</v>
      </c>
      <c r="C89" s="29">
        <f>SUMIF(C75:M75,"=-1",C116:M116)</f>
        <v>0.39583333333333331</v>
      </c>
      <c r="D89" s="29">
        <f t="shared" si="31"/>
        <v>0.5625</v>
      </c>
      <c r="E89" s="29">
        <f>SUMIF(C75:M75,"=0",C116:M116)</f>
        <v>4.1666666666666664E-2</v>
      </c>
      <c r="F89" s="23"/>
      <c r="G89" s="22">
        <f t="shared" si="28"/>
        <v>0.99999999999999989</v>
      </c>
      <c r="H89" s="23"/>
      <c r="I89" s="26"/>
      <c r="J89" s="27" t="s">
        <v>83</v>
      </c>
      <c r="K89" s="27" t="s">
        <v>84</v>
      </c>
      <c r="L89" s="27" t="s">
        <v>85</v>
      </c>
      <c r="M89" s="23"/>
      <c r="O89" s="22">
        <f t="shared" si="29"/>
        <v>0</v>
      </c>
    </row>
    <row r="90" spans="2:15" x14ac:dyDescent="0.25">
      <c r="B90" s="28" t="s">
        <v>13</v>
      </c>
      <c r="C90" s="29">
        <f t="shared" si="30"/>
        <v>0.76470588235294124</v>
      </c>
      <c r="D90" s="29">
        <f t="shared" si="31"/>
        <v>0.20588235294117646</v>
      </c>
      <c r="E90" s="29">
        <f t="shared" si="32"/>
        <v>2.9411764705882353E-2</v>
      </c>
      <c r="F90" s="23"/>
      <c r="G90" s="22">
        <f t="shared" si="28"/>
        <v>1</v>
      </c>
      <c r="H90" s="23"/>
      <c r="I90" s="28" t="s">
        <v>21</v>
      </c>
      <c r="J90" s="29">
        <f>SUMIF(C71:M71,"=0",C142:M142)</f>
        <v>1</v>
      </c>
      <c r="K90" s="29">
        <f>SUMIF(C71:M71,"=1",C142:M142)</f>
        <v>0</v>
      </c>
      <c r="L90" s="29">
        <f>SUMIF(C71:M71,"=-1",C142:M142)</f>
        <v>0</v>
      </c>
      <c r="M90" s="23"/>
      <c r="O90" s="22">
        <f t="shared" si="29"/>
        <v>1</v>
      </c>
    </row>
    <row r="91" spans="2:15" x14ac:dyDescent="0.25">
      <c r="B91" s="28" t="s">
        <v>14</v>
      </c>
      <c r="C91" s="29">
        <f t="shared" si="30"/>
        <v>0.66666666666666663</v>
      </c>
      <c r="D91" s="29">
        <f t="shared" si="31"/>
        <v>0.33333333333333331</v>
      </c>
      <c r="E91" s="29">
        <f t="shared" si="32"/>
        <v>0</v>
      </c>
      <c r="F91" s="23"/>
      <c r="G91" s="22">
        <f t="shared" si="28"/>
        <v>1</v>
      </c>
      <c r="H91" s="23"/>
      <c r="I91" s="28" t="s">
        <v>20</v>
      </c>
      <c r="J91" s="29">
        <f>SUMIF(C72:M72,"=0",C143:M143)</f>
        <v>1</v>
      </c>
      <c r="K91" s="29">
        <f>SUMIF(C72:M72,"=1",C143:M143)</f>
        <v>0</v>
      </c>
      <c r="L91" s="29">
        <f>SUMIF(C72:M72,"=-1",C143:M143)</f>
        <v>0</v>
      </c>
      <c r="M91" s="23"/>
      <c r="O91" s="22">
        <f t="shared" si="29"/>
        <v>1</v>
      </c>
    </row>
    <row r="92" spans="2:15" x14ac:dyDescent="0.25">
      <c r="B92" s="28" t="s">
        <v>15</v>
      </c>
      <c r="C92" s="29">
        <f t="shared" si="30"/>
        <v>0.56521739130434778</v>
      </c>
      <c r="D92" s="29">
        <f t="shared" si="31"/>
        <v>0.13043478260869565</v>
      </c>
      <c r="E92" s="29">
        <f t="shared" si="32"/>
        <v>0.30434782608695654</v>
      </c>
      <c r="F92" s="23"/>
      <c r="G92" s="22">
        <f t="shared" si="28"/>
        <v>1</v>
      </c>
      <c r="H92" s="23"/>
      <c r="I92" s="23"/>
      <c r="J92" s="23"/>
      <c r="K92" s="23"/>
      <c r="L92" s="23"/>
      <c r="M92" s="23"/>
      <c r="O92" s="22">
        <f t="shared" si="29"/>
        <v>0</v>
      </c>
    </row>
    <row r="93" spans="2:15" x14ac:dyDescent="0.25">
      <c r="B93" s="28" t="s">
        <v>18</v>
      </c>
      <c r="C93" s="29">
        <f t="shared" si="30"/>
        <v>0</v>
      </c>
      <c r="D93" s="29">
        <f t="shared" si="31"/>
        <v>0</v>
      </c>
      <c r="E93" s="29">
        <f t="shared" si="32"/>
        <v>0</v>
      </c>
      <c r="F93" s="23"/>
      <c r="G93" s="22">
        <f t="shared" si="28"/>
        <v>0</v>
      </c>
      <c r="H93" s="23"/>
      <c r="I93" s="24" t="s">
        <v>185</v>
      </c>
      <c r="J93" s="25"/>
      <c r="K93" s="25"/>
      <c r="L93" s="25"/>
      <c r="M93" s="23"/>
      <c r="O93" s="22">
        <f t="shared" si="29"/>
        <v>0</v>
      </c>
    </row>
    <row r="94" spans="2:15" x14ac:dyDescent="0.25">
      <c r="B94" s="28" t="s">
        <v>19</v>
      </c>
      <c r="C94" s="29">
        <f t="shared" si="30"/>
        <v>0</v>
      </c>
      <c r="D94" s="29">
        <f t="shared" si="31"/>
        <v>0</v>
      </c>
      <c r="E94" s="29">
        <f t="shared" si="32"/>
        <v>0</v>
      </c>
      <c r="F94" s="23"/>
      <c r="G94" s="22">
        <f t="shared" si="28"/>
        <v>0</v>
      </c>
      <c r="H94" s="23"/>
      <c r="I94" s="26"/>
      <c r="J94" s="27" t="s">
        <v>83</v>
      </c>
      <c r="K94" s="27" t="s">
        <v>84</v>
      </c>
      <c r="L94" s="27" t="s">
        <v>85</v>
      </c>
      <c r="M94" s="23"/>
      <c r="O94" s="22">
        <f t="shared" si="29"/>
        <v>0</v>
      </c>
    </row>
    <row r="95" spans="2:15" x14ac:dyDescent="0.25">
      <c r="B95" s="28" t="s">
        <v>9</v>
      </c>
      <c r="C95" s="29">
        <f t="shared" si="30"/>
        <v>1</v>
      </c>
      <c r="D95" s="29">
        <f t="shared" si="31"/>
        <v>0</v>
      </c>
      <c r="E95" s="29">
        <f t="shared" si="32"/>
        <v>0</v>
      </c>
      <c r="F95" s="23"/>
      <c r="G95" s="22">
        <f t="shared" ref="G95:G109" si="33">SUM(C95:E95)</f>
        <v>1</v>
      </c>
      <c r="H95" s="23"/>
      <c r="I95" s="28" t="s">
        <v>21</v>
      </c>
      <c r="J95" s="29">
        <f>SUMIF(C71:M71,"=0",C146:M146)</f>
        <v>1</v>
      </c>
      <c r="K95" s="29">
        <f>SUMIF(C71:M71,"=1",C146:M146)</f>
        <v>0</v>
      </c>
      <c r="L95" s="29">
        <f>SUMIF(C71:M71,"=-1",C146:M146)</f>
        <v>0</v>
      </c>
      <c r="M95" s="23"/>
      <c r="O95" s="22">
        <f t="shared" si="29"/>
        <v>1</v>
      </c>
    </row>
    <row r="96" spans="2:15" x14ac:dyDescent="0.25">
      <c r="G96" s="22"/>
      <c r="I96" s="28" t="s">
        <v>20</v>
      </c>
      <c r="J96" s="29">
        <f>SUMIF(C72:M72,"=0",C147:M147)</f>
        <v>1</v>
      </c>
      <c r="K96" s="29">
        <f>SUMIF(C72:M72,"=1",C147:M147)</f>
        <v>0</v>
      </c>
      <c r="L96" s="29">
        <f>SUMIF(C72:M72,"=-1",C147:M147)</f>
        <v>0</v>
      </c>
      <c r="O96" s="22">
        <f t="shared" si="29"/>
        <v>1</v>
      </c>
    </row>
    <row r="97" spans="2:15" x14ac:dyDescent="0.25">
      <c r="B97" s="24" t="s">
        <v>88</v>
      </c>
      <c r="C97" s="25"/>
      <c r="D97" s="25"/>
      <c r="E97" s="25"/>
      <c r="G97" s="22"/>
      <c r="O97" s="22">
        <f t="shared" si="29"/>
        <v>0</v>
      </c>
    </row>
    <row r="98" spans="2:15" x14ac:dyDescent="0.25">
      <c r="B98" s="26"/>
      <c r="C98" s="27" t="s">
        <v>83</v>
      </c>
      <c r="D98" s="27" t="s">
        <v>84</v>
      </c>
      <c r="E98" s="27" t="s">
        <v>85</v>
      </c>
      <c r="G98" s="22"/>
    </row>
    <row r="99" spans="2:15" x14ac:dyDescent="0.25">
      <c r="B99" s="28" t="s">
        <v>21</v>
      </c>
      <c r="C99" s="29">
        <f>SUMIF(C71:M71,"=0",C125:M125)</f>
        <v>1</v>
      </c>
      <c r="D99" s="29">
        <f>SUMIF(C71:M71,"=1",C125:M125)</f>
        <v>0</v>
      </c>
      <c r="E99" s="29">
        <f>SUMIF(C71:M71,"=-1",C125:M125)</f>
        <v>0</v>
      </c>
      <c r="G99" s="22">
        <f t="shared" si="33"/>
        <v>1</v>
      </c>
    </row>
    <row r="100" spans="2:15" x14ac:dyDescent="0.25">
      <c r="B100" s="28" t="s">
        <v>20</v>
      </c>
      <c r="C100" s="29">
        <f t="shared" ref="C100:C109" si="34">SUMIF(C72:M72,"=0",C126:M126)</f>
        <v>1</v>
      </c>
      <c r="D100" s="29">
        <f t="shared" ref="D100:D109" si="35">SUMIF(C72:M72,"=1",C126:M126)</f>
        <v>0</v>
      </c>
      <c r="E100" s="29">
        <f t="shared" ref="E100:E109" si="36">SUMIF(C72:M72,"=-1",C126:M126)</f>
        <v>0</v>
      </c>
      <c r="G100" s="22">
        <f t="shared" si="33"/>
        <v>1</v>
      </c>
    </row>
    <row r="101" spans="2:15" x14ac:dyDescent="0.25">
      <c r="B101" s="28" t="s">
        <v>2</v>
      </c>
      <c r="C101" s="29">
        <f>SUMIF(C73:M73,"=-1",C127:M127)</f>
        <v>0.71739130434782605</v>
      </c>
      <c r="D101" s="29">
        <f t="shared" si="35"/>
        <v>0.28260869565217389</v>
      </c>
      <c r="E101" s="29">
        <f>SUMIF(C73:M73,"=0",C127:M127)</f>
        <v>0</v>
      </c>
      <c r="G101" s="22">
        <f t="shared" si="33"/>
        <v>1</v>
      </c>
    </row>
    <row r="102" spans="2:15" x14ac:dyDescent="0.25">
      <c r="B102" s="28" t="s">
        <v>12</v>
      </c>
      <c r="C102" s="29">
        <f>SUMIF(C74:M74,"=-1",C128:M128)</f>
        <v>0.72972972972972983</v>
      </c>
      <c r="D102" s="29">
        <f t="shared" si="35"/>
        <v>0.27027027027027029</v>
      </c>
      <c r="E102" s="29">
        <f>SUMIF(C74:M74,"=0",C128:M128)</f>
        <v>0</v>
      </c>
      <c r="G102" s="22">
        <f t="shared" si="33"/>
        <v>1</v>
      </c>
    </row>
    <row r="103" spans="2:15" x14ac:dyDescent="0.25">
      <c r="B103" s="28" t="s">
        <v>11</v>
      </c>
      <c r="C103" s="29">
        <f>SUMIF(C75:M75,"=-1",C129:M129)</f>
        <v>0.83333333333333337</v>
      </c>
      <c r="D103" s="29">
        <f t="shared" si="35"/>
        <v>0.125</v>
      </c>
      <c r="E103" s="29">
        <f>SUMIF(C75:M75,"=0",C129:M129)</f>
        <v>4.1666666666666664E-2</v>
      </c>
      <c r="G103" s="22">
        <f t="shared" si="33"/>
        <v>1</v>
      </c>
    </row>
    <row r="104" spans="2:15" x14ac:dyDescent="0.25">
      <c r="B104" s="28" t="s">
        <v>13</v>
      </c>
      <c r="C104" s="29">
        <f t="shared" si="34"/>
        <v>0.79411764705882359</v>
      </c>
      <c r="D104" s="29">
        <f t="shared" si="35"/>
        <v>0.20588235294117646</v>
      </c>
      <c r="E104" s="29">
        <f t="shared" si="36"/>
        <v>0</v>
      </c>
      <c r="G104" s="22">
        <f t="shared" si="33"/>
        <v>1</v>
      </c>
    </row>
    <row r="105" spans="2:15" x14ac:dyDescent="0.25">
      <c r="B105" s="28" t="s">
        <v>14</v>
      </c>
      <c r="C105" s="29">
        <f t="shared" si="34"/>
        <v>0.88888888888888884</v>
      </c>
      <c r="D105" s="29">
        <f t="shared" si="35"/>
        <v>0.1111111111111111</v>
      </c>
      <c r="E105" s="29">
        <f t="shared" si="36"/>
        <v>0</v>
      </c>
      <c r="G105" s="22">
        <f t="shared" si="33"/>
        <v>1</v>
      </c>
    </row>
    <row r="106" spans="2:15" x14ac:dyDescent="0.25">
      <c r="B106" s="28" t="s">
        <v>15</v>
      </c>
      <c r="C106" s="29">
        <f t="shared" si="34"/>
        <v>0.69565217391304346</v>
      </c>
      <c r="D106" s="29">
        <f t="shared" si="35"/>
        <v>0.17391304347826086</v>
      </c>
      <c r="E106" s="29">
        <f t="shared" si="36"/>
        <v>0.13043478260869565</v>
      </c>
      <c r="G106" s="22">
        <f t="shared" si="33"/>
        <v>1</v>
      </c>
    </row>
    <row r="107" spans="2:15" x14ac:dyDescent="0.25">
      <c r="B107" s="28" t="s">
        <v>18</v>
      </c>
      <c r="C107" s="29">
        <f t="shared" si="34"/>
        <v>0</v>
      </c>
      <c r="D107" s="29">
        <f t="shared" si="35"/>
        <v>0</v>
      </c>
      <c r="E107" s="29">
        <f t="shared" si="36"/>
        <v>0</v>
      </c>
      <c r="G107" s="22">
        <f t="shared" si="33"/>
        <v>0</v>
      </c>
    </row>
    <row r="108" spans="2:15" x14ac:dyDescent="0.25">
      <c r="B108" s="28" t="s">
        <v>19</v>
      </c>
      <c r="C108" s="29">
        <f t="shared" si="34"/>
        <v>0</v>
      </c>
      <c r="D108" s="29">
        <f t="shared" si="35"/>
        <v>0</v>
      </c>
      <c r="E108" s="29">
        <f t="shared" si="36"/>
        <v>0</v>
      </c>
      <c r="G108" s="22">
        <f t="shared" si="33"/>
        <v>0</v>
      </c>
    </row>
    <row r="109" spans="2:15" x14ac:dyDescent="0.25">
      <c r="B109" s="28" t="s">
        <v>9</v>
      </c>
      <c r="C109" s="29">
        <f t="shared" si="34"/>
        <v>1</v>
      </c>
      <c r="D109" s="29">
        <f t="shared" si="35"/>
        <v>0</v>
      </c>
      <c r="E109" s="29">
        <f t="shared" si="36"/>
        <v>0</v>
      </c>
      <c r="G109" s="22">
        <f t="shared" si="33"/>
        <v>1</v>
      </c>
    </row>
    <row r="111" spans="2:15" x14ac:dyDescent="0.25">
      <c r="B111" s="5" t="s">
        <v>57</v>
      </c>
    </row>
    <row r="112" spans="2:15" x14ac:dyDescent="0.25">
      <c r="B112" s="5" t="s">
        <v>21</v>
      </c>
      <c r="C112" s="5">
        <f>IFERROR(C44,0)</f>
        <v>0</v>
      </c>
      <c r="D112" s="5">
        <f t="shared" ref="D112:M112" si="37">IFERROR(D44,0)</f>
        <v>0.6</v>
      </c>
      <c r="E112" s="5">
        <f t="shared" si="37"/>
        <v>0.4</v>
      </c>
      <c r="F112" s="5">
        <f t="shared" si="37"/>
        <v>0</v>
      </c>
      <c r="G112" s="5">
        <f t="shared" si="37"/>
        <v>0</v>
      </c>
      <c r="H112" s="5">
        <f t="shared" si="37"/>
        <v>0</v>
      </c>
      <c r="I112" s="5">
        <f t="shared" si="37"/>
        <v>0</v>
      </c>
      <c r="J112" s="5">
        <f t="shared" si="37"/>
        <v>0</v>
      </c>
      <c r="K112" s="5">
        <f t="shared" si="37"/>
        <v>0</v>
      </c>
      <c r="L112" s="5">
        <f t="shared" si="37"/>
        <v>0</v>
      </c>
      <c r="M112" s="5">
        <f t="shared" si="37"/>
        <v>0</v>
      </c>
    </row>
    <row r="113" spans="2:13" x14ac:dyDescent="0.25">
      <c r="B113" s="5" t="s">
        <v>20</v>
      </c>
      <c r="C113" s="5">
        <f t="shared" ref="C113:M113" si="38">IFERROR(C45,0)</f>
        <v>0.29411764705882354</v>
      </c>
      <c r="D113" s="5">
        <f t="shared" si="38"/>
        <v>0.17647058823529413</v>
      </c>
      <c r="E113" s="5">
        <f t="shared" si="38"/>
        <v>0.35294117647058826</v>
      </c>
      <c r="F113" s="5">
        <f t="shared" si="38"/>
        <v>0.17647058823529413</v>
      </c>
      <c r="G113" s="5">
        <f t="shared" si="38"/>
        <v>0</v>
      </c>
      <c r="H113" s="5">
        <f t="shared" si="38"/>
        <v>0</v>
      </c>
      <c r="I113" s="5">
        <f t="shared" si="38"/>
        <v>0</v>
      </c>
      <c r="J113" s="5">
        <f t="shared" si="38"/>
        <v>0</v>
      </c>
      <c r="K113" s="5">
        <f t="shared" si="38"/>
        <v>0</v>
      </c>
      <c r="L113" s="5">
        <f t="shared" si="38"/>
        <v>0</v>
      </c>
      <c r="M113" s="5">
        <f t="shared" si="38"/>
        <v>0</v>
      </c>
    </row>
    <row r="114" spans="2:13" x14ac:dyDescent="0.25">
      <c r="B114" s="5" t="s">
        <v>2</v>
      </c>
      <c r="C114" s="5">
        <f t="shared" ref="C114:M114" si="39">IFERROR(C46,0)</f>
        <v>0</v>
      </c>
      <c r="D114" s="5">
        <f t="shared" si="39"/>
        <v>0.54347826086956519</v>
      </c>
      <c r="E114" s="5">
        <f t="shared" si="39"/>
        <v>0.39130434782608697</v>
      </c>
      <c r="F114" s="5">
        <f t="shared" si="39"/>
        <v>6.5217391304347824E-2</v>
      </c>
      <c r="G114" s="5">
        <f t="shared" si="39"/>
        <v>0</v>
      </c>
      <c r="H114" s="5">
        <f t="shared" si="39"/>
        <v>0</v>
      </c>
      <c r="I114" s="5">
        <f t="shared" si="39"/>
        <v>0</v>
      </c>
      <c r="J114" s="5">
        <f t="shared" si="39"/>
        <v>0</v>
      </c>
      <c r="K114" s="5">
        <f t="shared" si="39"/>
        <v>0</v>
      </c>
      <c r="L114" s="5">
        <f t="shared" si="39"/>
        <v>0</v>
      </c>
      <c r="M114" s="5">
        <f t="shared" si="39"/>
        <v>0</v>
      </c>
    </row>
    <row r="115" spans="2:13" x14ac:dyDescent="0.25">
      <c r="B115" s="5" t="s">
        <v>12</v>
      </c>
      <c r="C115" s="5">
        <f t="shared" ref="C115:M115" si="40">IFERROR(C47,0)</f>
        <v>0</v>
      </c>
      <c r="D115" s="5">
        <f t="shared" si="40"/>
        <v>0.56756756756756754</v>
      </c>
      <c r="E115" s="5">
        <f t="shared" si="40"/>
        <v>0.3783783783783784</v>
      </c>
      <c r="F115" s="5">
        <f t="shared" si="40"/>
        <v>5.4054054054054057E-2</v>
      </c>
      <c r="G115" s="5">
        <f t="shared" si="40"/>
        <v>0</v>
      </c>
      <c r="H115" s="5">
        <f t="shared" si="40"/>
        <v>0</v>
      </c>
      <c r="I115" s="5">
        <f t="shared" si="40"/>
        <v>0</v>
      </c>
      <c r="J115" s="5">
        <f t="shared" si="40"/>
        <v>0</v>
      </c>
      <c r="K115" s="5">
        <f t="shared" si="40"/>
        <v>0</v>
      </c>
      <c r="L115" s="5">
        <f t="shared" si="40"/>
        <v>0</v>
      </c>
      <c r="M115" s="5">
        <f t="shared" si="40"/>
        <v>0</v>
      </c>
    </row>
    <row r="116" spans="2:13" x14ac:dyDescent="0.25">
      <c r="B116" s="5" t="s">
        <v>11</v>
      </c>
      <c r="C116" s="5">
        <f t="shared" ref="C116:M116" si="41">IFERROR(C48,0)</f>
        <v>4.1666666666666664E-2</v>
      </c>
      <c r="D116" s="5">
        <f t="shared" si="41"/>
        <v>0.5625</v>
      </c>
      <c r="E116" s="5">
        <f t="shared" si="41"/>
        <v>0.33333333333333331</v>
      </c>
      <c r="F116" s="5">
        <f t="shared" si="41"/>
        <v>6.25E-2</v>
      </c>
      <c r="G116" s="5">
        <f t="shared" si="41"/>
        <v>0</v>
      </c>
      <c r="H116" s="5">
        <f t="shared" si="41"/>
        <v>0</v>
      </c>
      <c r="I116" s="5">
        <f t="shared" si="41"/>
        <v>0</v>
      </c>
      <c r="J116" s="5">
        <f t="shared" si="41"/>
        <v>0</v>
      </c>
      <c r="K116" s="5">
        <f t="shared" si="41"/>
        <v>0</v>
      </c>
      <c r="L116" s="5">
        <f t="shared" si="41"/>
        <v>0</v>
      </c>
      <c r="M116" s="5">
        <f t="shared" si="41"/>
        <v>0</v>
      </c>
    </row>
    <row r="117" spans="2:13" x14ac:dyDescent="0.25">
      <c r="B117" s="5" t="s">
        <v>13</v>
      </c>
      <c r="C117" s="5">
        <f t="shared" ref="C117:M117" si="42">IFERROR(C49,0)</f>
        <v>8.8235294117647065E-2</v>
      </c>
      <c r="D117" s="5">
        <f t="shared" si="42"/>
        <v>0.67647058823529416</v>
      </c>
      <c r="E117" s="5">
        <f t="shared" si="42"/>
        <v>0.20588235294117646</v>
      </c>
      <c r="F117" s="5">
        <f t="shared" si="42"/>
        <v>0</v>
      </c>
      <c r="G117" s="5">
        <f t="shared" si="42"/>
        <v>2.9411764705882353E-2</v>
      </c>
      <c r="H117" s="5">
        <f t="shared" si="42"/>
        <v>0</v>
      </c>
      <c r="I117" s="5">
        <f t="shared" si="42"/>
        <v>0</v>
      </c>
      <c r="J117" s="5">
        <f t="shared" si="42"/>
        <v>0</v>
      </c>
      <c r="K117" s="5">
        <f t="shared" si="42"/>
        <v>0</v>
      </c>
      <c r="L117" s="5">
        <f t="shared" si="42"/>
        <v>0</v>
      </c>
      <c r="M117" s="5">
        <f t="shared" si="42"/>
        <v>0</v>
      </c>
    </row>
    <row r="118" spans="2:13" x14ac:dyDescent="0.25">
      <c r="B118" s="5" t="s">
        <v>14</v>
      </c>
      <c r="C118" s="5">
        <f t="shared" ref="C118:M118" si="43">IFERROR(C50,0)</f>
        <v>0.33333333333333331</v>
      </c>
      <c r="D118" s="5">
        <f t="shared" si="43"/>
        <v>0.33333333333333331</v>
      </c>
      <c r="E118" s="5">
        <f t="shared" si="43"/>
        <v>0.33333333333333331</v>
      </c>
      <c r="F118" s="5">
        <f t="shared" si="43"/>
        <v>0</v>
      </c>
      <c r="G118" s="5">
        <f t="shared" si="43"/>
        <v>0</v>
      </c>
      <c r="H118" s="5">
        <f t="shared" si="43"/>
        <v>0</v>
      </c>
      <c r="I118" s="5">
        <f t="shared" si="43"/>
        <v>0</v>
      </c>
      <c r="J118" s="5">
        <f t="shared" si="43"/>
        <v>0</v>
      </c>
      <c r="K118" s="5">
        <f t="shared" si="43"/>
        <v>0</v>
      </c>
      <c r="L118" s="5">
        <f t="shared" si="43"/>
        <v>0</v>
      </c>
      <c r="M118" s="5">
        <f t="shared" si="43"/>
        <v>0</v>
      </c>
    </row>
    <row r="119" spans="2:13" x14ac:dyDescent="0.25">
      <c r="B119" s="5" t="s">
        <v>15</v>
      </c>
      <c r="C119" s="5">
        <f t="shared" ref="C119:M119" si="44">IFERROR(C51,0)</f>
        <v>0.56521739130434778</v>
      </c>
      <c r="D119" s="5">
        <f t="shared" si="44"/>
        <v>0.13043478260869565</v>
      </c>
      <c r="E119" s="5">
        <f t="shared" si="44"/>
        <v>0.30434782608695654</v>
      </c>
      <c r="F119" s="5">
        <f t="shared" si="44"/>
        <v>0</v>
      </c>
      <c r="G119" s="5">
        <f t="shared" si="44"/>
        <v>0</v>
      </c>
      <c r="H119" s="5">
        <f t="shared" si="44"/>
        <v>0</v>
      </c>
      <c r="I119" s="5">
        <f t="shared" si="44"/>
        <v>0</v>
      </c>
      <c r="J119" s="5">
        <f t="shared" si="44"/>
        <v>0</v>
      </c>
      <c r="K119" s="5">
        <f t="shared" si="44"/>
        <v>0</v>
      </c>
      <c r="L119" s="5">
        <f t="shared" si="44"/>
        <v>0</v>
      </c>
      <c r="M119" s="5">
        <f t="shared" si="44"/>
        <v>0</v>
      </c>
    </row>
    <row r="120" spans="2:13" x14ac:dyDescent="0.25">
      <c r="B120" s="5" t="s">
        <v>18</v>
      </c>
      <c r="C120" s="5">
        <f t="shared" ref="C120:M120" si="45">IFERROR(C52,0)</f>
        <v>0</v>
      </c>
      <c r="D120" s="5">
        <f t="shared" si="45"/>
        <v>0</v>
      </c>
      <c r="E120" s="5">
        <f t="shared" si="45"/>
        <v>0</v>
      </c>
      <c r="F120" s="5">
        <f t="shared" si="45"/>
        <v>0</v>
      </c>
      <c r="G120" s="5">
        <f t="shared" si="45"/>
        <v>0</v>
      </c>
      <c r="H120" s="5">
        <f t="shared" si="45"/>
        <v>0</v>
      </c>
      <c r="I120" s="5">
        <f t="shared" si="45"/>
        <v>0</v>
      </c>
      <c r="J120" s="5">
        <f t="shared" si="45"/>
        <v>0</v>
      </c>
      <c r="K120" s="5">
        <f t="shared" si="45"/>
        <v>0</v>
      </c>
      <c r="L120" s="5">
        <f t="shared" si="45"/>
        <v>0</v>
      </c>
      <c r="M120" s="5">
        <f t="shared" si="45"/>
        <v>0</v>
      </c>
    </row>
    <row r="121" spans="2:13" x14ac:dyDescent="0.25">
      <c r="B121" s="5" t="s">
        <v>19</v>
      </c>
      <c r="C121" s="5">
        <f t="shared" ref="C121:M121" si="46">IFERROR(C53,0)</f>
        <v>0</v>
      </c>
      <c r="D121" s="5">
        <f t="shared" si="46"/>
        <v>0</v>
      </c>
      <c r="E121" s="5">
        <f t="shared" si="46"/>
        <v>0</v>
      </c>
      <c r="F121" s="5">
        <f t="shared" si="46"/>
        <v>0</v>
      </c>
      <c r="G121" s="5">
        <f t="shared" si="46"/>
        <v>0</v>
      </c>
      <c r="H121" s="5">
        <f t="shared" si="46"/>
        <v>0</v>
      </c>
      <c r="I121" s="5">
        <f t="shared" si="46"/>
        <v>0</v>
      </c>
      <c r="J121" s="5">
        <f t="shared" si="46"/>
        <v>0</v>
      </c>
      <c r="K121" s="5">
        <f t="shared" si="46"/>
        <v>0</v>
      </c>
      <c r="L121" s="5">
        <f t="shared" si="46"/>
        <v>0</v>
      </c>
      <c r="M121" s="5">
        <f t="shared" si="46"/>
        <v>0</v>
      </c>
    </row>
    <row r="122" spans="2:13" x14ac:dyDescent="0.25">
      <c r="B122" s="5" t="s">
        <v>9</v>
      </c>
      <c r="C122" s="5">
        <f t="shared" ref="C122:M122" si="47">IFERROR(C54,0)</f>
        <v>0.5</v>
      </c>
      <c r="D122" s="5">
        <f t="shared" si="47"/>
        <v>0</v>
      </c>
      <c r="E122" s="5">
        <f t="shared" si="47"/>
        <v>0.5</v>
      </c>
      <c r="F122" s="5">
        <f t="shared" si="47"/>
        <v>0</v>
      </c>
      <c r="G122" s="5">
        <f t="shared" si="47"/>
        <v>0</v>
      </c>
      <c r="H122" s="5">
        <f t="shared" si="47"/>
        <v>0</v>
      </c>
      <c r="I122" s="5">
        <f t="shared" si="47"/>
        <v>0</v>
      </c>
      <c r="J122" s="5">
        <f t="shared" si="47"/>
        <v>0</v>
      </c>
      <c r="K122" s="5">
        <f t="shared" si="47"/>
        <v>0</v>
      </c>
      <c r="L122" s="5">
        <f t="shared" si="47"/>
        <v>0</v>
      </c>
      <c r="M122" s="5">
        <f t="shared" si="47"/>
        <v>0</v>
      </c>
    </row>
    <row r="124" spans="2:13" x14ac:dyDescent="0.25">
      <c r="B124" s="5" t="s">
        <v>61</v>
      </c>
      <c r="C124" s="5">
        <f t="shared" ref="C124:M124" si="48">IFERROR(C56,0)</f>
        <v>0</v>
      </c>
      <c r="D124" s="5">
        <f t="shared" si="48"/>
        <v>0</v>
      </c>
      <c r="E124" s="5">
        <f t="shared" si="48"/>
        <v>0</v>
      </c>
      <c r="F124" s="5">
        <f t="shared" si="48"/>
        <v>0</v>
      </c>
      <c r="G124" s="5">
        <f t="shared" si="48"/>
        <v>0</v>
      </c>
      <c r="H124" s="5">
        <f t="shared" si="48"/>
        <v>0</v>
      </c>
      <c r="I124" s="5">
        <f t="shared" si="48"/>
        <v>0</v>
      </c>
      <c r="J124" s="5">
        <f t="shared" si="48"/>
        <v>0</v>
      </c>
      <c r="K124" s="5">
        <f t="shared" si="48"/>
        <v>0</v>
      </c>
      <c r="L124" s="5">
        <f t="shared" si="48"/>
        <v>0</v>
      </c>
      <c r="M124" s="5">
        <f t="shared" si="48"/>
        <v>0</v>
      </c>
    </row>
    <row r="125" spans="2:13" x14ac:dyDescent="0.25">
      <c r="B125" s="5" t="s">
        <v>21</v>
      </c>
      <c r="C125" s="5">
        <f t="shared" ref="C125:M125" si="49">IFERROR(C57,0)</f>
        <v>0.6</v>
      </c>
      <c r="D125" s="5">
        <f t="shared" si="49"/>
        <v>0.4</v>
      </c>
      <c r="E125" s="5">
        <f t="shared" si="49"/>
        <v>0</v>
      </c>
      <c r="F125" s="5">
        <f t="shared" si="49"/>
        <v>0</v>
      </c>
      <c r="G125" s="5">
        <f t="shared" si="49"/>
        <v>0</v>
      </c>
      <c r="H125" s="5">
        <f t="shared" si="49"/>
        <v>0</v>
      </c>
      <c r="I125" s="5">
        <f t="shared" si="49"/>
        <v>0</v>
      </c>
      <c r="J125" s="5">
        <f t="shared" si="49"/>
        <v>0</v>
      </c>
      <c r="K125" s="5">
        <f t="shared" si="49"/>
        <v>0</v>
      </c>
      <c r="L125" s="5">
        <f t="shared" si="49"/>
        <v>0</v>
      </c>
      <c r="M125" s="5">
        <f t="shared" si="49"/>
        <v>0</v>
      </c>
    </row>
    <row r="126" spans="2:13" x14ac:dyDescent="0.25">
      <c r="B126" s="5" t="s">
        <v>20</v>
      </c>
      <c r="C126" s="5">
        <f t="shared" ref="C126:M126" si="50">IFERROR(C58,0)</f>
        <v>0.29411764705882354</v>
      </c>
      <c r="D126" s="5">
        <f t="shared" si="50"/>
        <v>0.58823529411764708</v>
      </c>
      <c r="E126" s="5">
        <f t="shared" si="50"/>
        <v>5.8823529411764705E-2</v>
      </c>
      <c r="F126" s="5">
        <f t="shared" si="50"/>
        <v>5.8823529411764705E-2</v>
      </c>
      <c r="G126" s="5">
        <f t="shared" si="50"/>
        <v>0</v>
      </c>
      <c r="H126" s="5">
        <f t="shared" si="50"/>
        <v>0</v>
      </c>
      <c r="I126" s="5">
        <f t="shared" si="50"/>
        <v>0</v>
      </c>
      <c r="J126" s="5">
        <f t="shared" si="50"/>
        <v>0</v>
      </c>
      <c r="K126" s="5">
        <f t="shared" si="50"/>
        <v>0</v>
      </c>
      <c r="L126" s="5">
        <f t="shared" si="50"/>
        <v>0</v>
      </c>
      <c r="M126" s="5">
        <f t="shared" si="50"/>
        <v>0</v>
      </c>
    </row>
    <row r="127" spans="2:13" x14ac:dyDescent="0.25">
      <c r="B127" s="5" t="s">
        <v>2</v>
      </c>
      <c r="C127" s="5">
        <f t="shared" ref="C127:M127" si="51">IFERROR(C59,0)</f>
        <v>0</v>
      </c>
      <c r="D127" s="5">
        <f t="shared" si="51"/>
        <v>0.28260869565217389</v>
      </c>
      <c r="E127" s="5">
        <f t="shared" si="51"/>
        <v>0.2608695652173913</v>
      </c>
      <c r="F127" s="5">
        <f t="shared" si="51"/>
        <v>0.45652173913043476</v>
      </c>
      <c r="G127" s="5">
        <f t="shared" si="51"/>
        <v>0</v>
      </c>
      <c r="H127" s="5">
        <f t="shared" si="51"/>
        <v>0</v>
      </c>
      <c r="I127" s="5">
        <f t="shared" si="51"/>
        <v>0</v>
      </c>
      <c r="J127" s="5">
        <f t="shared" si="51"/>
        <v>0</v>
      </c>
      <c r="K127" s="5">
        <f t="shared" si="51"/>
        <v>0</v>
      </c>
      <c r="L127" s="5">
        <f t="shared" si="51"/>
        <v>0</v>
      </c>
      <c r="M127" s="5">
        <f t="shared" si="51"/>
        <v>0</v>
      </c>
    </row>
    <row r="128" spans="2:13" x14ac:dyDescent="0.25">
      <c r="B128" s="5" t="s">
        <v>12</v>
      </c>
      <c r="C128" s="5">
        <f t="shared" ref="C128:M128" si="52">IFERROR(C60,0)</f>
        <v>0</v>
      </c>
      <c r="D128" s="5">
        <f t="shared" si="52"/>
        <v>0.27027027027027029</v>
      </c>
      <c r="E128" s="5">
        <f t="shared" si="52"/>
        <v>0.24324324324324326</v>
      </c>
      <c r="F128" s="5">
        <f t="shared" si="52"/>
        <v>0.48648648648648651</v>
      </c>
      <c r="G128" s="5">
        <f t="shared" si="52"/>
        <v>0</v>
      </c>
      <c r="H128" s="5">
        <f t="shared" si="52"/>
        <v>0</v>
      </c>
      <c r="I128" s="5">
        <f t="shared" si="52"/>
        <v>0</v>
      </c>
      <c r="J128" s="5">
        <f t="shared" si="52"/>
        <v>0</v>
      </c>
      <c r="K128" s="5">
        <f t="shared" si="52"/>
        <v>0</v>
      </c>
      <c r="L128" s="5">
        <f t="shared" si="52"/>
        <v>0</v>
      </c>
      <c r="M128" s="5">
        <f t="shared" si="52"/>
        <v>0</v>
      </c>
    </row>
    <row r="129" spans="2:15" x14ac:dyDescent="0.25">
      <c r="B129" s="5" t="s">
        <v>11</v>
      </c>
      <c r="C129" s="5">
        <f t="shared" ref="C129:M129" si="53">IFERROR(C61,0)</f>
        <v>4.1666666666666664E-2</v>
      </c>
      <c r="D129" s="5">
        <f t="shared" si="53"/>
        <v>0.125</v>
      </c>
      <c r="E129" s="5">
        <f t="shared" si="53"/>
        <v>0.35416666666666669</v>
      </c>
      <c r="F129" s="5">
        <f t="shared" si="53"/>
        <v>0.47916666666666669</v>
      </c>
      <c r="G129" s="5">
        <f t="shared" si="53"/>
        <v>0</v>
      </c>
      <c r="H129" s="5">
        <f t="shared" si="53"/>
        <v>0</v>
      </c>
      <c r="I129" s="5">
        <f t="shared" si="53"/>
        <v>0</v>
      </c>
      <c r="J129" s="5">
        <f t="shared" si="53"/>
        <v>0</v>
      </c>
      <c r="K129" s="5">
        <f t="shared" si="53"/>
        <v>0</v>
      </c>
      <c r="L129" s="5">
        <f t="shared" si="53"/>
        <v>0</v>
      </c>
      <c r="M129" s="5">
        <f t="shared" si="53"/>
        <v>0</v>
      </c>
    </row>
    <row r="130" spans="2:15" x14ac:dyDescent="0.25">
      <c r="B130" s="5" t="s">
        <v>13</v>
      </c>
      <c r="C130" s="5">
        <f t="shared" ref="C130:M130" si="54">IFERROR(C62,0)</f>
        <v>0.17647058823529413</v>
      </c>
      <c r="D130" s="5">
        <f t="shared" si="54"/>
        <v>0.61764705882352944</v>
      </c>
      <c r="E130" s="5">
        <f t="shared" si="54"/>
        <v>0.20588235294117646</v>
      </c>
      <c r="F130" s="5">
        <f t="shared" si="54"/>
        <v>0</v>
      </c>
      <c r="G130" s="5">
        <f t="shared" si="54"/>
        <v>0</v>
      </c>
      <c r="H130" s="5">
        <f t="shared" si="54"/>
        <v>0</v>
      </c>
      <c r="I130" s="5">
        <f t="shared" si="54"/>
        <v>0</v>
      </c>
      <c r="J130" s="5">
        <f t="shared" si="54"/>
        <v>0</v>
      </c>
      <c r="K130" s="5">
        <f t="shared" si="54"/>
        <v>0</v>
      </c>
      <c r="L130" s="5">
        <f t="shared" si="54"/>
        <v>0</v>
      </c>
      <c r="M130" s="5">
        <f t="shared" si="54"/>
        <v>0</v>
      </c>
    </row>
    <row r="131" spans="2:15" x14ac:dyDescent="0.25">
      <c r="B131" s="5" t="s">
        <v>14</v>
      </c>
      <c r="C131" s="5">
        <f t="shared" ref="C131:M131" si="55">IFERROR(C63,0)</f>
        <v>0.55555555555555558</v>
      </c>
      <c r="D131" s="5">
        <f t="shared" si="55"/>
        <v>0.33333333333333331</v>
      </c>
      <c r="E131" s="5">
        <f t="shared" si="55"/>
        <v>0.1111111111111111</v>
      </c>
      <c r="F131" s="5">
        <f t="shared" si="55"/>
        <v>0</v>
      </c>
      <c r="G131" s="5">
        <f t="shared" si="55"/>
        <v>0</v>
      </c>
      <c r="H131" s="5">
        <f t="shared" si="55"/>
        <v>0</v>
      </c>
      <c r="I131" s="5">
        <f t="shared" si="55"/>
        <v>0</v>
      </c>
      <c r="J131" s="5">
        <f t="shared" si="55"/>
        <v>0</v>
      </c>
      <c r="K131" s="5">
        <f t="shared" si="55"/>
        <v>0</v>
      </c>
      <c r="L131" s="5">
        <f t="shared" si="55"/>
        <v>0</v>
      </c>
      <c r="M131" s="5">
        <f t="shared" si="55"/>
        <v>0</v>
      </c>
    </row>
    <row r="132" spans="2:15" x14ac:dyDescent="0.25">
      <c r="B132" s="5" t="s">
        <v>15</v>
      </c>
      <c r="C132" s="5">
        <f t="shared" ref="C132:M132" si="56">IFERROR(C64,0)</f>
        <v>0.69565217391304346</v>
      </c>
      <c r="D132" s="5">
        <f t="shared" si="56"/>
        <v>0.17391304347826086</v>
      </c>
      <c r="E132" s="5">
        <f t="shared" si="56"/>
        <v>0.13043478260869565</v>
      </c>
      <c r="F132" s="5">
        <f t="shared" si="56"/>
        <v>0</v>
      </c>
      <c r="G132" s="5">
        <f t="shared" si="56"/>
        <v>0</v>
      </c>
      <c r="H132" s="5">
        <f t="shared" si="56"/>
        <v>0</v>
      </c>
      <c r="I132" s="5">
        <f t="shared" si="56"/>
        <v>0</v>
      </c>
      <c r="J132" s="5">
        <f t="shared" si="56"/>
        <v>0</v>
      </c>
      <c r="K132" s="5">
        <f t="shared" si="56"/>
        <v>0</v>
      </c>
      <c r="L132" s="5">
        <f t="shared" si="56"/>
        <v>0</v>
      </c>
      <c r="M132" s="5">
        <f t="shared" si="56"/>
        <v>0</v>
      </c>
    </row>
    <row r="133" spans="2:15" x14ac:dyDescent="0.25">
      <c r="B133" s="5" t="s">
        <v>18</v>
      </c>
      <c r="C133" s="5">
        <f t="shared" ref="C133:M133" si="57">IFERROR(C65,0)</f>
        <v>0</v>
      </c>
      <c r="D133" s="5">
        <f t="shared" si="57"/>
        <v>0</v>
      </c>
      <c r="E133" s="5">
        <f t="shared" si="57"/>
        <v>0</v>
      </c>
      <c r="F133" s="5">
        <f t="shared" si="57"/>
        <v>0</v>
      </c>
      <c r="G133" s="5">
        <f t="shared" si="57"/>
        <v>0</v>
      </c>
      <c r="H133" s="5">
        <f t="shared" si="57"/>
        <v>0</v>
      </c>
      <c r="I133" s="5">
        <f t="shared" si="57"/>
        <v>0</v>
      </c>
      <c r="J133" s="5">
        <f t="shared" si="57"/>
        <v>0</v>
      </c>
      <c r="K133" s="5">
        <f t="shared" si="57"/>
        <v>0</v>
      </c>
      <c r="L133" s="5">
        <f t="shared" si="57"/>
        <v>0</v>
      </c>
      <c r="M133" s="5">
        <f t="shared" si="57"/>
        <v>0</v>
      </c>
    </row>
    <row r="134" spans="2:15" x14ac:dyDescent="0.25">
      <c r="B134" s="5" t="s">
        <v>19</v>
      </c>
      <c r="C134" s="5">
        <f t="shared" ref="C134:M134" si="58">IFERROR(C66,0)</f>
        <v>0</v>
      </c>
      <c r="D134" s="5">
        <f t="shared" si="58"/>
        <v>0</v>
      </c>
      <c r="E134" s="5">
        <f t="shared" si="58"/>
        <v>0</v>
      </c>
      <c r="F134" s="5">
        <f t="shared" si="58"/>
        <v>0</v>
      </c>
      <c r="G134" s="5">
        <f t="shared" si="58"/>
        <v>0</v>
      </c>
      <c r="H134" s="5">
        <f t="shared" si="58"/>
        <v>0</v>
      </c>
      <c r="I134" s="5">
        <f t="shared" si="58"/>
        <v>0</v>
      </c>
      <c r="J134" s="5">
        <f t="shared" si="58"/>
        <v>0</v>
      </c>
      <c r="K134" s="5">
        <f t="shared" si="58"/>
        <v>0</v>
      </c>
      <c r="L134" s="5">
        <f t="shared" si="58"/>
        <v>0</v>
      </c>
      <c r="M134" s="5">
        <f t="shared" si="58"/>
        <v>0</v>
      </c>
    </row>
    <row r="135" spans="2:15" x14ac:dyDescent="0.25">
      <c r="B135" s="5" t="s">
        <v>9</v>
      </c>
      <c r="C135" s="5">
        <f t="shared" ref="C135:M135" si="59">IFERROR(C67,0)</f>
        <v>1</v>
      </c>
      <c r="D135" s="5">
        <f t="shared" si="59"/>
        <v>0</v>
      </c>
      <c r="E135" s="5">
        <f t="shared" si="59"/>
        <v>0</v>
      </c>
      <c r="F135" s="5">
        <f t="shared" si="59"/>
        <v>0</v>
      </c>
      <c r="G135" s="5">
        <f t="shared" si="59"/>
        <v>0</v>
      </c>
      <c r="H135" s="5">
        <f t="shared" si="59"/>
        <v>0</v>
      </c>
      <c r="I135" s="5">
        <f t="shared" si="59"/>
        <v>0</v>
      </c>
      <c r="J135" s="5">
        <f t="shared" si="59"/>
        <v>0</v>
      </c>
      <c r="K135" s="5">
        <f t="shared" si="59"/>
        <v>0</v>
      </c>
      <c r="L135" s="5">
        <f t="shared" si="59"/>
        <v>0</v>
      </c>
      <c r="M135" s="5">
        <f t="shared" si="59"/>
        <v>0</v>
      </c>
    </row>
    <row r="137" spans="2:15" x14ac:dyDescent="0.25">
      <c r="B137" s="204" t="s">
        <v>180</v>
      </c>
      <c r="C137" s="205"/>
      <c r="D137" s="205"/>
      <c r="E137" s="205"/>
      <c r="F137" s="205"/>
      <c r="G137" s="205"/>
      <c r="H137" s="205"/>
      <c r="I137" s="205"/>
      <c r="J137" s="205"/>
      <c r="K137" s="205"/>
      <c r="L137" s="205"/>
      <c r="M137" s="206"/>
    </row>
    <row r="138" spans="2:15" x14ac:dyDescent="0.25">
      <c r="B138" s="12" t="s">
        <v>21</v>
      </c>
      <c r="C138" s="12">
        <f t="array" ref="C138:M138">MMULT($C$31:$M$31,AR4:BB14)</f>
        <v>1</v>
      </c>
      <c r="D138" s="12">
        <v>0</v>
      </c>
      <c r="E138" s="12">
        <v>0</v>
      </c>
      <c r="F138" s="12">
        <v>0</v>
      </c>
      <c r="G138" s="12">
        <v>0</v>
      </c>
      <c r="H138" s="12">
        <v>0</v>
      </c>
      <c r="I138" s="12">
        <v>0</v>
      </c>
      <c r="J138" s="12">
        <v>0</v>
      </c>
      <c r="K138" s="12">
        <v>0</v>
      </c>
      <c r="L138" s="12">
        <v>0</v>
      </c>
      <c r="M138" s="12">
        <v>0</v>
      </c>
      <c r="O138" s="5">
        <f>SUM(C138:N138)</f>
        <v>1</v>
      </c>
    </row>
    <row r="139" spans="2:15" x14ac:dyDescent="0.25">
      <c r="B139" s="12" t="s">
        <v>20</v>
      </c>
      <c r="C139" s="12">
        <f t="array" ref="C139:M139">MMULT($C$32:$M$32,AR43:BB53)</f>
        <v>0.35294117647058826</v>
      </c>
      <c r="D139" s="12">
        <v>0.47058823529411764</v>
      </c>
      <c r="E139" s="12">
        <v>0.11764705882352941</v>
      </c>
      <c r="F139" s="12">
        <v>5.8823529411764705E-2</v>
      </c>
      <c r="G139" s="12">
        <v>0</v>
      </c>
      <c r="H139" s="12">
        <v>0</v>
      </c>
      <c r="I139" s="12">
        <v>0</v>
      </c>
      <c r="J139" s="12">
        <v>0</v>
      </c>
      <c r="K139" s="12">
        <v>0</v>
      </c>
      <c r="L139" s="12">
        <v>0</v>
      </c>
      <c r="M139" s="12">
        <v>0</v>
      </c>
      <c r="O139" s="5">
        <f t="shared" ref="O139:O147" si="60">SUM(C139:N139)</f>
        <v>1</v>
      </c>
    </row>
    <row r="140" spans="2:15" x14ac:dyDescent="0.25">
      <c r="O140" s="5">
        <f t="shared" si="60"/>
        <v>0</v>
      </c>
    </row>
    <row r="141" spans="2:15" x14ac:dyDescent="0.25">
      <c r="B141" s="204" t="s">
        <v>181</v>
      </c>
      <c r="C141" s="205"/>
      <c r="D141" s="205"/>
      <c r="E141" s="205"/>
      <c r="F141" s="205"/>
      <c r="G141" s="205"/>
      <c r="H141" s="205"/>
      <c r="I141" s="205"/>
      <c r="J141" s="205"/>
      <c r="K141" s="205"/>
      <c r="L141" s="205"/>
      <c r="M141" s="206"/>
      <c r="O141" s="5">
        <f t="shared" si="60"/>
        <v>0</v>
      </c>
    </row>
    <row r="142" spans="2:15" x14ac:dyDescent="0.25">
      <c r="B142" s="12" t="s">
        <v>21</v>
      </c>
      <c r="C142" s="12">
        <f t="array" ref="C142:M142">MMULT($C$31:$M$31,AR17:BB27)</f>
        <v>0.8</v>
      </c>
      <c r="D142" s="12">
        <v>0.2</v>
      </c>
      <c r="E142" s="12">
        <v>0</v>
      </c>
      <c r="F142" s="12">
        <v>0</v>
      </c>
      <c r="G142" s="12">
        <v>0</v>
      </c>
      <c r="H142" s="12">
        <v>0</v>
      </c>
      <c r="I142" s="12">
        <v>0</v>
      </c>
      <c r="J142" s="12">
        <v>0</v>
      </c>
      <c r="K142" s="12">
        <v>0</v>
      </c>
      <c r="L142" s="12">
        <v>0</v>
      </c>
      <c r="M142" s="12">
        <v>0</v>
      </c>
      <c r="O142" s="5">
        <f t="shared" si="60"/>
        <v>1</v>
      </c>
    </row>
    <row r="143" spans="2:15" x14ac:dyDescent="0.25">
      <c r="B143" s="12" t="s">
        <v>20</v>
      </c>
      <c r="C143" s="12">
        <f t="array" ref="C143:M143">MMULT($C$32:$M$32,AR56:BB66)</f>
        <v>0.35294117647058826</v>
      </c>
      <c r="D143" s="12">
        <v>0.52941176470588236</v>
      </c>
      <c r="E143" s="12">
        <v>5.8823529411764705E-2</v>
      </c>
      <c r="F143" s="12">
        <v>0</v>
      </c>
      <c r="G143" s="12">
        <v>0</v>
      </c>
      <c r="H143" s="12">
        <v>0</v>
      </c>
      <c r="I143" s="12">
        <v>0</v>
      </c>
      <c r="J143" s="12">
        <v>0</v>
      </c>
      <c r="K143" s="12">
        <v>5.8823529411764705E-2</v>
      </c>
      <c r="L143" s="12">
        <v>0</v>
      </c>
      <c r="M143" s="12">
        <v>0</v>
      </c>
      <c r="O143" s="5">
        <f t="shared" si="60"/>
        <v>1</v>
      </c>
    </row>
    <row r="144" spans="2:15" x14ac:dyDescent="0.25">
      <c r="O144" s="5">
        <f t="shared" si="60"/>
        <v>0</v>
      </c>
    </row>
    <row r="145" spans="2:15" x14ac:dyDescent="0.25">
      <c r="B145" s="204" t="s">
        <v>182</v>
      </c>
      <c r="C145" s="205"/>
      <c r="D145" s="205"/>
      <c r="E145" s="205"/>
      <c r="F145" s="205"/>
      <c r="G145" s="205"/>
      <c r="H145" s="205"/>
      <c r="I145" s="205"/>
      <c r="J145" s="205"/>
      <c r="K145" s="205"/>
      <c r="L145" s="205"/>
      <c r="M145" s="206"/>
      <c r="O145" s="5">
        <f t="shared" si="60"/>
        <v>0</v>
      </c>
    </row>
    <row r="146" spans="2:15" x14ac:dyDescent="0.25">
      <c r="B146" s="12" t="s">
        <v>21</v>
      </c>
      <c r="C146" s="12">
        <f t="array" ref="C146:M146">MMULT($C$31:$M$31,AR30:BB40)</f>
        <v>0.8</v>
      </c>
      <c r="D146" s="12">
        <v>0.2</v>
      </c>
      <c r="E146" s="12">
        <v>0</v>
      </c>
      <c r="F146" s="12">
        <v>0</v>
      </c>
      <c r="G146" s="12">
        <v>0</v>
      </c>
      <c r="H146" s="12">
        <v>0</v>
      </c>
      <c r="I146" s="12">
        <v>0</v>
      </c>
      <c r="J146" s="12">
        <v>0</v>
      </c>
      <c r="K146" s="12">
        <v>0</v>
      </c>
      <c r="L146" s="12">
        <v>0</v>
      </c>
      <c r="M146" s="12">
        <v>0</v>
      </c>
      <c r="O146" s="5">
        <f t="shared" si="60"/>
        <v>1</v>
      </c>
    </row>
    <row r="147" spans="2:15" x14ac:dyDescent="0.25">
      <c r="B147" s="12" t="s">
        <v>20</v>
      </c>
      <c r="C147" s="12">
        <f t="array" ref="C147:M147">MMULT($C$32:$M$32,AR69:BB79)</f>
        <v>0.29411764705882354</v>
      </c>
      <c r="D147" s="12">
        <v>0.6470588235294118</v>
      </c>
      <c r="E147" s="12">
        <v>0</v>
      </c>
      <c r="F147" s="12">
        <v>5.8823529411764705E-2</v>
      </c>
      <c r="G147" s="12">
        <v>0</v>
      </c>
      <c r="H147" s="12">
        <v>0</v>
      </c>
      <c r="I147" s="12">
        <v>0</v>
      </c>
      <c r="J147" s="12">
        <v>0</v>
      </c>
      <c r="K147" s="12">
        <v>0</v>
      </c>
      <c r="L147" s="12">
        <v>0</v>
      </c>
      <c r="M147" s="12">
        <v>0</v>
      </c>
      <c r="O147" s="5">
        <f t="shared" si="60"/>
        <v>1</v>
      </c>
    </row>
  </sheetData>
  <mergeCells count="16">
    <mergeCell ref="T1:AC1"/>
    <mergeCell ref="O42:R42"/>
    <mergeCell ref="AF1:AO1"/>
    <mergeCell ref="O35:R35"/>
    <mergeCell ref="O29:R29"/>
    <mergeCell ref="O23:R23"/>
    <mergeCell ref="O17:R17"/>
    <mergeCell ref="O2:R2"/>
    <mergeCell ref="O11:R11"/>
    <mergeCell ref="B137:M137"/>
    <mergeCell ref="B141:M141"/>
    <mergeCell ref="B145:M145"/>
    <mergeCell ref="B43:M43"/>
    <mergeCell ref="B30:M30"/>
    <mergeCell ref="B56:M56"/>
    <mergeCell ref="B70:M70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FFFF00"/>
  </sheetPr>
  <dimension ref="B1:N81"/>
  <sheetViews>
    <sheetView showGridLines="0" zoomScaleNormal="100" workbookViewId="0"/>
  </sheetViews>
  <sheetFormatPr defaultRowHeight="15" x14ac:dyDescent="0.25"/>
  <cols>
    <col min="1" max="1" width="1.85546875" customWidth="1"/>
    <col min="2" max="2" width="17.5703125" customWidth="1"/>
    <col min="3" max="13" width="9.28515625" customWidth="1"/>
  </cols>
  <sheetData>
    <row r="1" spans="2:14" x14ac:dyDescent="0.25">
      <c r="B1" s="1" t="s">
        <v>48</v>
      </c>
      <c r="C1" s="2" t="s">
        <v>50</v>
      </c>
      <c r="D1" s="2" t="s">
        <v>50</v>
      </c>
      <c r="E1" s="2" t="s">
        <v>49</v>
      </c>
      <c r="F1" s="2" t="s">
        <v>49</v>
      </c>
      <c r="G1" s="2" t="s">
        <v>49</v>
      </c>
      <c r="H1" s="2" t="s">
        <v>49</v>
      </c>
      <c r="I1" s="2" t="s">
        <v>47</v>
      </c>
      <c r="J1" s="2" t="s">
        <v>47</v>
      </c>
      <c r="K1" s="2" t="s">
        <v>46</v>
      </c>
    </row>
    <row r="2" spans="2:14" x14ac:dyDescent="0.25">
      <c r="B2" s="64" t="s">
        <v>51</v>
      </c>
      <c r="C2" s="64" t="s">
        <v>21</v>
      </c>
      <c r="D2" s="64" t="s">
        <v>20</v>
      </c>
      <c r="E2" s="64" t="s">
        <v>2</v>
      </c>
      <c r="F2" s="64" t="s">
        <v>12</v>
      </c>
      <c r="G2" s="64" t="s">
        <v>11</v>
      </c>
      <c r="H2" s="64" t="s">
        <v>13</v>
      </c>
      <c r="I2" s="64" t="s">
        <v>14</v>
      </c>
      <c r="J2" s="64" t="s">
        <v>15</v>
      </c>
      <c r="K2" s="64" t="s">
        <v>9</v>
      </c>
    </row>
    <row r="3" spans="2:14" x14ac:dyDescent="0.25">
      <c r="B3" s="65" t="s">
        <v>193</v>
      </c>
      <c r="C3" s="66">
        <f>Entradas!D5</f>
        <v>5</v>
      </c>
      <c r="D3" s="66">
        <f>Entradas!D6</f>
        <v>9</v>
      </c>
      <c r="E3" s="66">
        <f>Entradas!D7</f>
        <v>40</v>
      </c>
      <c r="F3" s="66">
        <f>Entradas!D8</f>
        <v>40</v>
      </c>
      <c r="G3" s="66">
        <f>Entradas!D9</f>
        <v>40</v>
      </c>
      <c r="H3" s="66">
        <f>Entradas!D10</f>
        <v>50</v>
      </c>
      <c r="I3" s="66">
        <f>Entradas!D11</f>
        <v>90</v>
      </c>
      <c r="J3" s="66">
        <f>Entradas!D12</f>
        <v>10</v>
      </c>
      <c r="K3" s="66">
        <f>Entradas!D13</f>
        <v>50</v>
      </c>
    </row>
    <row r="4" spans="2:14" ht="4.5" customHeight="1" x14ac:dyDescent="0.25"/>
    <row r="5" spans="2:14" x14ac:dyDescent="0.25">
      <c r="B5" s="6" t="s">
        <v>91</v>
      </c>
      <c r="C5" s="15">
        <f>'AUX Probabilidades'!C85</f>
        <v>1</v>
      </c>
      <c r="D5" s="15">
        <f>'AUX Probabilidades'!C86</f>
        <v>1</v>
      </c>
      <c r="E5" s="15">
        <f>'AUX Probabilidades'!C87</f>
        <v>0.45652173913043481</v>
      </c>
      <c r="F5" s="15">
        <f>'AUX Probabilidades'!C88</f>
        <v>0.43243243243243246</v>
      </c>
      <c r="G5" s="15">
        <f>'AUX Probabilidades'!C89</f>
        <v>0.39583333333333331</v>
      </c>
      <c r="H5" s="15">
        <f>'AUX Probabilidades'!C90</f>
        <v>0.76470588235294124</v>
      </c>
      <c r="I5" s="15">
        <f>'AUX Probabilidades'!C91</f>
        <v>0.66666666666666663</v>
      </c>
      <c r="J5" s="15">
        <f>'AUX Probabilidades'!C92</f>
        <v>0.56521739130434778</v>
      </c>
      <c r="K5" s="15">
        <f>'AUX Probabilidades'!C95</f>
        <v>1</v>
      </c>
    </row>
    <row r="6" spans="2:14" x14ac:dyDescent="0.25">
      <c r="B6" s="6" t="s">
        <v>92</v>
      </c>
      <c r="C6" s="15">
        <f>'AUX Probabilidades'!D85</f>
        <v>0</v>
      </c>
      <c r="D6" s="15">
        <f>'AUX Probabilidades'!D86</f>
        <v>0</v>
      </c>
      <c r="E6" s="15">
        <f>'AUX Probabilidades'!D87</f>
        <v>0.54347826086956519</v>
      </c>
      <c r="F6" s="15">
        <f>'AUX Probabilidades'!D88</f>
        <v>0.56756756756756754</v>
      </c>
      <c r="G6" s="15">
        <f>'AUX Probabilidades'!D89</f>
        <v>0.5625</v>
      </c>
      <c r="H6" s="15">
        <f>'AUX Probabilidades'!D90</f>
        <v>0.20588235294117646</v>
      </c>
      <c r="I6" s="15">
        <f>'AUX Probabilidades'!D91</f>
        <v>0.33333333333333331</v>
      </c>
      <c r="J6" s="15">
        <f>'AUX Probabilidades'!D92</f>
        <v>0.13043478260869565</v>
      </c>
      <c r="K6" s="15">
        <f>'AUX Probabilidades'!D95</f>
        <v>0</v>
      </c>
    </row>
    <row r="7" spans="2:14" x14ac:dyDescent="0.25">
      <c r="B7" s="6" t="s">
        <v>93</v>
      </c>
      <c r="C7" s="15">
        <f>'AUX Probabilidades'!E85</f>
        <v>0</v>
      </c>
      <c r="D7" s="15">
        <f>'AUX Probabilidades'!E86</f>
        <v>0</v>
      </c>
      <c r="E7" s="15">
        <f>'AUX Probabilidades'!E87</f>
        <v>0</v>
      </c>
      <c r="F7" s="15">
        <f>'AUX Probabilidades'!E88</f>
        <v>0</v>
      </c>
      <c r="G7" s="15">
        <f>'AUX Probabilidades'!E89</f>
        <v>4.1666666666666664E-2</v>
      </c>
      <c r="H7" s="15">
        <f>'AUX Probabilidades'!E90</f>
        <v>2.9411764705882353E-2</v>
      </c>
      <c r="I7" s="15">
        <f>'AUX Probabilidades'!E91</f>
        <v>0</v>
      </c>
      <c r="J7" s="15">
        <f>'AUX Probabilidades'!E92</f>
        <v>0.30434782608695654</v>
      </c>
      <c r="K7" s="15">
        <f>'AUX Probabilidades'!E95</f>
        <v>0</v>
      </c>
    </row>
    <row r="8" spans="2:14" ht="7.5" customHeight="1" x14ac:dyDescent="0.25">
      <c r="C8" s="14"/>
      <c r="D8" s="14"/>
      <c r="E8" s="14"/>
      <c r="F8" s="14"/>
      <c r="G8" s="14"/>
      <c r="H8" s="14"/>
      <c r="I8" s="14"/>
      <c r="J8" s="14"/>
      <c r="K8" s="14"/>
    </row>
    <row r="9" spans="2:14" ht="14.25" customHeight="1" x14ac:dyDescent="0.25">
      <c r="B9" s="6" t="s">
        <v>96</v>
      </c>
      <c r="C9" s="15">
        <f>'AUX Probabilidades'!C99</f>
        <v>1</v>
      </c>
      <c r="D9" s="15">
        <f>'AUX Probabilidades'!C100</f>
        <v>1</v>
      </c>
      <c r="E9" s="15">
        <f>'AUX Probabilidades'!C101</f>
        <v>0.71739130434782605</v>
      </c>
      <c r="F9" s="15">
        <f>'AUX Probabilidades'!C102</f>
        <v>0.72972972972972983</v>
      </c>
      <c r="G9" s="15">
        <f>'AUX Probabilidades'!C103</f>
        <v>0.83333333333333337</v>
      </c>
      <c r="H9" s="15">
        <f>'AUX Probabilidades'!C104</f>
        <v>0.79411764705882359</v>
      </c>
      <c r="I9" s="15">
        <f>'AUX Probabilidades'!C105</f>
        <v>0.88888888888888884</v>
      </c>
      <c r="J9" s="15">
        <f>'AUX Probabilidades'!C106</f>
        <v>0.69565217391304346</v>
      </c>
      <c r="K9" s="15">
        <f>'AUX Probabilidades'!C109</f>
        <v>1</v>
      </c>
    </row>
    <row r="10" spans="2:14" ht="14.25" customHeight="1" x14ac:dyDescent="0.25">
      <c r="B10" s="6" t="s">
        <v>95</v>
      </c>
      <c r="C10" s="15">
        <f>'AUX Probabilidades'!D99</f>
        <v>0</v>
      </c>
      <c r="D10" s="15">
        <f>'AUX Probabilidades'!D100</f>
        <v>0</v>
      </c>
      <c r="E10" s="15">
        <f>'AUX Probabilidades'!D101</f>
        <v>0.28260869565217389</v>
      </c>
      <c r="F10" s="15">
        <f>'AUX Probabilidades'!D102</f>
        <v>0.27027027027027029</v>
      </c>
      <c r="G10" s="15">
        <f>'AUX Probabilidades'!D103</f>
        <v>0.125</v>
      </c>
      <c r="H10" s="15">
        <f>'AUX Probabilidades'!D104</f>
        <v>0.20588235294117646</v>
      </c>
      <c r="I10" s="15">
        <f>'AUX Probabilidades'!D105</f>
        <v>0.1111111111111111</v>
      </c>
      <c r="J10" s="15">
        <f>'AUX Probabilidades'!D106</f>
        <v>0.17391304347826086</v>
      </c>
      <c r="K10" s="15">
        <f>'AUX Probabilidades'!D109</f>
        <v>0</v>
      </c>
    </row>
    <row r="11" spans="2:14" x14ac:dyDescent="0.25">
      <c r="B11" s="6" t="s">
        <v>94</v>
      </c>
      <c r="C11" s="15">
        <f>'AUX Probabilidades'!E99</f>
        <v>0</v>
      </c>
      <c r="D11" s="15">
        <f>'AUX Probabilidades'!E100</f>
        <v>0</v>
      </c>
      <c r="E11" s="15">
        <f>'AUX Probabilidades'!E101</f>
        <v>0</v>
      </c>
      <c r="F11" s="15">
        <f>'AUX Probabilidades'!E102</f>
        <v>0</v>
      </c>
      <c r="G11" s="15">
        <f>'AUX Probabilidades'!E103</f>
        <v>4.1666666666666664E-2</v>
      </c>
      <c r="H11" s="15">
        <f>'AUX Probabilidades'!E104</f>
        <v>0</v>
      </c>
      <c r="I11" s="15">
        <f>'AUX Probabilidades'!E105</f>
        <v>0</v>
      </c>
      <c r="J11" s="15">
        <f>'AUX Probabilidades'!E106</f>
        <v>0.13043478260869565</v>
      </c>
      <c r="K11" s="15">
        <f>'AUX Probabilidades'!E109</f>
        <v>0</v>
      </c>
    </row>
    <row r="12" spans="2:14" x14ac:dyDescent="0.25">
      <c r="B12" s="76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</row>
    <row r="13" spans="2:14" x14ac:dyDescent="0.25">
      <c r="B13" s="6" t="s">
        <v>171</v>
      </c>
      <c r="C13" s="15">
        <f>'AUX Probabilidades'!J85</f>
        <v>1</v>
      </c>
      <c r="D13" s="15">
        <f>'AUX Probabilidades'!J86</f>
        <v>1</v>
      </c>
      <c r="E13" s="77"/>
      <c r="F13" s="221" t="s">
        <v>186</v>
      </c>
      <c r="G13" s="221"/>
      <c r="H13" s="221"/>
      <c r="I13" s="221"/>
      <c r="J13" s="77"/>
      <c r="K13" s="221" t="s">
        <v>150</v>
      </c>
      <c r="L13" s="221"/>
      <c r="M13" s="221"/>
      <c r="N13" s="221"/>
    </row>
    <row r="14" spans="2:14" x14ac:dyDescent="0.25">
      <c r="B14" s="6" t="s">
        <v>174</v>
      </c>
      <c r="C14" s="15">
        <f>'AUX Probabilidades'!K85</f>
        <v>0</v>
      </c>
      <c r="D14" s="15">
        <f>'AUX Probabilidades'!K86</f>
        <v>0</v>
      </c>
      <c r="E14" s="77"/>
      <c r="F14" s="221" t="s">
        <v>187</v>
      </c>
      <c r="G14" s="221"/>
      <c r="H14" s="221"/>
      <c r="I14" s="15">
        <f>'AUX Probabilidades'!BG5+'AUX Probabilidades'!BG6</f>
        <v>5.9523809523809521E-3</v>
      </c>
      <c r="J14" s="77"/>
      <c r="K14" s="221" t="s">
        <v>194</v>
      </c>
      <c r="L14" s="221"/>
      <c r="M14" s="221"/>
      <c r="N14" s="15">
        <f>'AUX Probabilidades'!BE5</f>
        <v>3.048780487804878E-2</v>
      </c>
    </row>
    <row r="15" spans="2:14" x14ac:dyDescent="0.25">
      <c r="B15" s="6" t="s">
        <v>173</v>
      </c>
      <c r="C15" s="15">
        <f>'AUX Probabilidades'!L85</f>
        <v>0</v>
      </c>
      <c r="D15" s="15">
        <f>'AUX Probabilidades'!L86</f>
        <v>0</v>
      </c>
      <c r="E15" s="77"/>
      <c r="F15" s="221" t="s">
        <v>188</v>
      </c>
      <c r="G15" s="221"/>
      <c r="H15" s="221"/>
      <c r="I15" s="15">
        <f>'AUX Probabilidades'!BG7</f>
        <v>0.11904761904761904</v>
      </c>
      <c r="J15" s="77"/>
      <c r="K15" s="221" t="s">
        <v>195</v>
      </c>
      <c r="L15" s="221"/>
      <c r="M15" s="221"/>
      <c r="N15" s="15">
        <f>'AUX Probabilidades'!BE8</f>
        <v>0.29878048780487804</v>
      </c>
    </row>
    <row r="16" spans="2:14" x14ac:dyDescent="0.25">
      <c r="B16" s="76"/>
      <c r="C16" s="77"/>
      <c r="D16" s="77"/>
      <c r="E16" s="77"/>
      <c r="F16" s="221" t="s">
        <v>189</v>
      </c>
      <c r="G16" s="221"/>
      <c r="H16" s="221"/>
      <c r="I16" s="15">
        <f>'AUX Probabilidades'!BG8+'AUX Probabilidades'!BG9</f>
        <v>0.875</v>
      </c>
      <c r="J16" s="77"/>
      <c r="K16" s="221" t="s">
        <v>196</v>
      </c>
      <c r="L16" s="221"/>
      <c r="M16" s="221"/>
      <c r="N16" s="15">
        <f>'AUX Probabilidades'!BE6+'AUX Probabilidades'!BE7+'AUX Probabilidades'!BE9</f>
        <v>0.6707317073170731</v>
      </c>
    </row>
    <row r="17" spans="2:14" x14ac:dyDescent="0.25">
      <c r="B17" s="6" t="s">
        <v>175</v>
      </c>
      <c r="C17" s="15">
        <f>'AUX Probabilidades'!J90</f>
        <v>1</v>
      </c>
      <c r="D17" s="15">
        <f>'AUX Probabilidades'!J91</f>
        <v>1</v>
      </c>
      <c r="E17" s="77"/>
      <c r="F17" s="222"/>
      <c r="G17" s="222"/>
      <c r="H17" s="222"/>
      <c r="I17" s="77"/>
      <c r="J17" s="77"/>
      <c r="K17" s="222"/>
      <c r="L17" s="222"/>
      <c r="M17" s="222"/>
      <c r="N17" s="77"/>
    </row>
    <row r="18" spans="2:14" x14ac:dyDescent="0.25">
      <c r="B18" s="6" t="s">
        <v>172</v>
      </c>
      <c r="C18" s="15">
        <f>'AUX Probabilidades'!K90</f>
        <v>0</v>
      </c>
      <c r="D18" s="15">
        <f>'AUX Probabilidades'!K91</f>
        <v>0</v>
      </c>
      <c r="E18" s="77"/>
      <c r="F18" s="221" t="s">
        <v>190</v>
      </c>
      <c r="G18" s="221"/>
      <c r="H18" s="221"/>
      <c r="I18" s="15">
        <f>'AUX Probabilidades'!BH5+'AUX Probabilidades'!BH6</f>
        <v>6.41025641025641E-3</v>
      </c>
      <c r="J18" s="77"/>
      <c r="K18" s="221" t="s">
        <v>197</v>
      </c>
      <c r="L18" s="221"/>
      <c r="M18" s="221"/>
      <c r="N18" s="15">
        <f>'AUX Probabilidades'!BF5</f>
        <v>6.4935064935064939E-3</v>
      </c>
    </row>
    <row r="19" spans="2:14" x14ac:dyDescent="0.25">
      <c r="B19" s="6" t="s">
        <v>176</v>
      </c>
      <c r="C19" s="15">
        <f>'AUX Probabilidades'!L90</f>
        <v>0</v>
      </c>
      <c r="D19" s="15">
        <f>'AUX Probabilidades'!L91</f>
        <v>0</v>
      </c>
      <c r="E19" s="77"/>
      <c r="F19" s="221" t="s">
        <v>191</v>
      </c>
      <c r="G19" s="221"/>
      <c r="H19" s="221"/>
      <c r="I19" s="15">
        <f>'AUX Probabilidades'!BH7</f>
        <v>7.6923076923076927E-2</v>
      </c>
      <c r="J19" s="77"/>
      <c r="K19" s="223" t="s">
        <v>198</v>
      </c>
      <c r="L19" s="224"/>
      <c r="M19" s="225"/>
      <c r="N19" s="15">
        <f>'AUX Probabilidades'!BF8</f>
        <v>0.33766233766233766</v>
      </c>
    </row>
    <row r="20" spans="2:14" x14ac:dyDescent="0.25">
      <c r="B20" s="76"/>
      <c r="C20" s="77"/>
      <c r="D20" s="77"/>
      <c r="E20" s="77"/>
      <c r="F20" s="221" t="s">
        <v>192</v>
      </c>
      <c r="G20" s="221"/>
      <c r="H20" s="221"/>
      <c r="I20" s="15">
        <f>'AUX Probabilidades'!BH8+'AUX Probabilidades'!BH9</f>
        <v>0.91666666666666663</v>
      </c>
      <c r="J20" s="77"/>
      <c r="K20" s="223" t="s">
        <v>199</v>
      </c>
      <c r="L20" s="224"/>
      <c r="M20" s="225"/>
      <c r="N20" s="15">
        <f>'AUX Probabilidades'!BF6+'AUX Probabilidades'!BF7+'AUX Probabilidades'!BF9</f>
        <v>0.6558441558441559</v>
      </c>
    </row>
    <row r="21" spans="2:14" x14ac:dyDescent="0.25">
      <c r="B21" s="6" t="s">
        <v>177</v>
      </c>
      <c r="C21" s="15">
        <f>'AUX Probabilidades'!J95</f>
        <v>1</v>
      </c>
      <c r="D21" s="15">
        <f>'AUX Probabilidades'!J96</f>
        <v>1</v>
      </c>
      <c r="E21" s="77"/>
      <c r="F21" s="77"/>
      <c r="G21" s="77"/>
      <c r="H21" s="77"/>
      <c r="I21" s="77"/>
      <c r="J21" s="77"/>
      <c r="K21" s="77"/>
      <c r="L21" s="77"/>
      <c r="M21" s="77"/>
    </row>
    <row r="22" spans="2:14" x14ac:dyDescent="0.25">
      <c r="B22" s="6" t="s">
        <v>178</v>
      </c>
      <c r="C22" s="15">
        <f>'AUX Probabilidades'!K95</f>
        <v>0</v>
      </c>
      <c r="D22" s="15">
        <f>'AUX Probabilidades'!K96</f>
        <v>0</v>
      </c>
      <c r="E22" s="77"/>
      <c r="F22" s="77"/>
      <c r="G22" s="77"/>
      <c r="H22" s="77"/>
      <c r="I22" s="77"/>
      <c r="J22" s="77"/>
      <c r="K22" s="77"/>
      <c r="L22" s="77"/>
      <c r="M22" s="77"/>
    </row>
    <row r="23" spans="2:14" x14ac:dyDescent="0.25">
      <c r="B23" s="6" t="s">
        <v>179</v>
      </c>
      <c r="C23" s="15">
        <f>'AUX Probabilidades'!L95</f>
        <v>0</v>
      </c>
      <c r="D23" s="15">
        <f>'AUX Probabilidades'!L96</f>
        <v>0</v>
      </c>
      <c r="E23" s="77"/>
      <c r="F23" s="77"/>
      <c r="G23" s="77"/>
      <c r="H23" s="77"/>
      <c r="I23" s="77"/>
      <c r="J23" s="77"/>
      <c r="K23" s="77"/>
      <c r="L23" s="77"/>
      <c r="M23" s="77"/>
    </row>
    <row r="25" spans="2:14" ht="25.5" customHeight="1" x14ac:dyDescent="0.25">
      <c r="B25" s="220" t="s">
        <v>62</v>
      </c>
      <c r="C25" s="220"/>
      <c r="D25" s="220"/>
      <c r="E25" s="220"/>
      <c r="F25" s="220"/>
      <c r="G25" s="220"/>
      <c r="H25" s="220"/>
      <c r="I25" s="220"/>
      <c r="J25" s="220"/>
      <c r="K25" s="220"/>
      <c r="L25" s="220"/>
      <c r="M25" s="220"/>
      <c r="N25" s="220"/>
    </row>
    <row r="26" spans="2:14" x14ac:dyDescent="0.25">
      <c r="B26" s="219" t="s">
        <v>21</v>
      </c>
      <c r="C26" s="17" t="s">
        <v>65</v>
      </c>
      <c r="D26" s="18">
        <v>0</v>
      </c>
      <c r="E26" s="18">
        <v>1</v>
      </c>
      <c r="F26" s="18">
        <v>2</v>
      </c>
      <c r="G26" s="18">
        <v>3</v>
      </c>
      <c r="H26" s="18">
        <v>4</v>
      </c>
      <c r="I26" s="18">
        <v>5</v>
      </c>
      <c r="J26" s="18">
        <v>6</v>
      </c>
      <c r="K26" s="18">
        <v>7</v>
      </c>
      <c r="L26" s="18">
        <v>8</v>
      </c>
      <c r="M26" s="18">
        <v>9</v>
      </c>
      <c r="N26" s="18">
        <v>10</v>
      </c>
    </row>
    <row r="27" spans="2:14" x14ac:dyDescent="0.25">
      <c r="B27" s="219"/>
      <c r="C27" s="17" t="s">
        <v>64</v>
      </c>
      <c r="D27" s="19">
        <f>'AUX Probabilidades'!C44</f>
        <v>0</v>
      </c>
      <c r="E27" s="19">
        <f>'AUX Probabilidades'!D44</f>
        <v>0.6</v>
      </c>
      <c r="F27" s="19">
        <f>'AUX Probabilidades'!E44</f>
        <v>0.4</v>
      </c>
      <c r="G27" s="19">
        <f>'AUX Probabilidades'!F44</f>
        <v>0</v>
      </c>
      <c r="H27" s="19">
        <f>'AUX Probabilidades'!G44</f>
        <v>0</v>
      </c>
      <c r="I27" s="19">
        <f>'AUX Probabilidades'!H44</f>
        <v>0</v>
      </c>
      <c r="J27" s="19">
        <f>'AUX Probabilidades'!I44</f>
        <v>0</v>
      </c>
      <c r="K27" s="19">
        <f>'AUX Probabilidades'!J44</f>
        <v>0</v>
      </c>
      <c r="L27" s="19">
        <f>'AUX Probabilidades'!K44</f>
        <v>0</v>
      </c>
      <c r="M27" s="19">
        <f>'AUX Probabilidades'!L44</f>
        <v>0</v>
      </c>
      <c r="N27" s="19">
        <f>'AUX Probabilidades'!M44</f>
        <v>0</v>
      </c>
    </row>
    <row r="28" spans="2:14" x14ac:dyDescent="0.25">
      <c r="B28" s="219" t="s">
        <v>20</v>
      </c>
      <c r="C28" s="17" t="s">
        <v>65</v>
      </c>
      <c r="D28" s="18">
        <v>0</v>
      </c>
      <c r="E28" s="18">
        <v>1</v>
      </c>
      <c r="F28" s="18">
        <v>2</v>
      </c>
      <c r="G28" s="18">
        <v>3</v>
      </c>
      <c r="H28" s="18">
        <v>4</v>
      </c>
      <c r="I28" s="18">
        <v>5</v>
      </c>
      <c r="J28" s="18">
        <v>6</v>
      </c>
      <c r="K28" s="18">
        <v>7</v>
      </c>
      <c r="L28" s="18">
        <v>8</v>
      </c>
      <c r="M28" s="18">
        <v>9</v>
      </c>
      <c r="N28" s="18">
        <v>10</v>
      </c>
    </row>
    <row r="29" spans="2:14" x14ac:dyDescent="0.25">
      <c r="B29" s="219"/>
      <c r="C29" s="17" t="s">
        <v>64</v>
      </c>
      <c r="D29" s="19">
        <f>'AUX Probabilidades'!C45</f>
        <v>0.29411764705882354</v>
      </c>
      <c r="E29" s="19">
        <f>'AUX Probabilidades'!D45</f>
        <v>0.17647058823529413</v>
      </c>
      <c r="F29" s="19">
        <f>'AUX Probabilidades'!E45</f>
        <v>0.35294117647058826</v>
      </c>
      <c r="G29" s="19">
        <f>'AUX Probabilidades'!F45</f>
        <v>0.17647058823529413</v>
      </c>
      <c r="H29" s="19">
        <f>'AUX Probabilidades'!G45</f>
        <v>0</v>
      </c>
      <c r="I29" s="19">
        <f>'AUX Probabilidades'!H45</f>
        <v>0</v>
      </c>
      <c r="J29" s="19">
        <f>'AUX Probabilidades'!I45</f>
        <v>0</v>
      </c>
      <c r="K29" s="19">
        <f>'AUX Probabilidades'!J45</f>
        <v>0</v>
      </c>
      <c r="L29" s="19">
        <f>'AUX Probabilidades'!K45</f>
        <v>0</v>
      </c>
      <c r="M29" s="19">
        <f>'AUX Probabilidades'!L45</f>
        <v>0</v>
      </c>
      <c r="N29" s="19">
        <f>'AUX Probabilidades'!M45</f>
        <v>0</v>
      </c>
    </row>
    <row r="30" spans="2:14" x14ac:dyDescent="0.25">
      <c r="B30" s="219" t="s">
        <v>2</v>
      </c>
      <c r="C30" s="17" t="s">
        <v>65</v>
      </c>
      <c r="D30" s="18" t="s">
        <v>66</v>
      </c>
      <c r="E30" s="18" t="s">
        <v>67</v>
      </c>
      <c r="F30" s="18" t="s">
        <v>68</v>
      </c>
      <c r="G30" s="18" t="s">
        <v>69</v>
      </c>
      <c r="H30" s="18"/>
      <c r="I30" s="18"/>
      <c r="J30" s="18"/>
      <c r="K30" s="18"/>
      <c r="L30" s="18"/>
      <c r="M30" s="18"/>
      <c r="N30" s="18"/>
    </row>
    <row r="31" spans="2:14" x14ac:dyDescent="0.25">
      <c r="B31" s="219"/>
      <c r="C31" s="17" t="s">
        <v>64</v>
      </c>
      <c r="D31" s="19">
        <f>'AUX Probabilidades'!C46</f>
        <v>0</v>
      </c>
      <c r="E31" s="19">
        <f>'AUX Probabilidades'!D46</f>
        <v>0.54347826086956519</v>
      </c>
      <c r="F31" s="19">
        <f>'AUX Probabilidades'!E46</f>
        <v>0.39130434782608697</v>
      </c>
      <c r="G31" s="19">
        <f>'AUX Probabilidades'!F46</f>
        <v>6.5217391304347824E-2</v>
      </c>
      <c r="H31" s="19"/>
      <c r="I31" s="19"/>
      <c r="J31" s="19"/>
      <c r="K31" s="19"/>
      <c r="L31" s="19"/>
      <c r="M31" s="19"/>
      <c r="N31" s="19"/>
    </row>
    <row r="32" spans="2:14" x14ac:dyDescent="0.25">
      <c r="B32" s="219" t="s">
        <v>12</v>
      </c>
      <c r="C32" s="17" t="s">
        <v>65</v>
      </c>
      <c r="D32" s="18" t="s">
        <v>66</v>
      </c>
      <c r="E32" s="18" t="s">
        <v>67</v>
      </c>
      <c r="F32" s="18" t="s">
        <v>68</v>
      </c>
      <c r="G32" s="18" t="s">
        <v>69</v>
      </c>
      <c r="H32" s="18"/>
      <c r="I32" s="18"/>
      <c r="J32" s="18"/>
      <c r="K32" s="18"/>
      <c r="L32" s="18"/>
      <c r="M32" s="18"/>
      <c r="N32" s="18"/>
    </row>
    <row r="33" spans="2:14" x14ac:dyDescent="0.25">
      <c r="B33" s="219"/>
      <c r="C33" s="17" t="s">
        <v>64</v>
      </c>
      <c r="D33" s="19">
        <f>'AUX Probabilidades'!C47</f>
        <v>0</v>
      </c>
      <c r="E33" s="19">
        <f>'AUX Probabilidades'!D47</f>
        <v>0.56756756756756754</v>
      </c>
      <c r="F33" s="19">
        <f>'AUX Probabilidades'!E47</f>
        <v>0.3783783783783784</v>
      </c>
      <c r="G33" s="19">
        <f>'AUX Probabilidades'!F47</f>
        <v>5.4054054054054057E-2</v>
      </c>
      <c r="H33" s="19"/>
      <c r="I33" s="19"/>
      <c r="J33" s="19"/>
      <c r="K33" s="19"/>
      <c r="L33" s="19"/>
      <c r="M33" s="19"/>
      <c r="N33" s="19"/>
    </row>
    <row r="34" spans="2:14" x14ac:dyDescent="0.25">
      <c r="B34" s="219" t="s">
        <v>11</v>
      </c>
      <c r="C34" s="17" t="s">
        <v>65</v>
      </c>
      <c r="D34" s="18" t="s">
        <v>66</v>
      </c>
      <c r="E34" s="18" t="s">
        <v>67</v>
      </c>
      <c r="F34" s="18" t="s">
        <v>68</v>
      </c>
      <c r="G34" s="18" t="s">
        <v>69</v>
      </c>
      <c r="H34" s="18"/>
      <c r="I34" s="18"/>
      <c r="J34" s="18"/>
      <c r="K34" s="18"/>
      <c r="L34" s="18"/>
      <c r="M34" s="18"/>
      <c r="N34" s="18"/>
    </row>
    <row r="35" spans="2:14" x14ac:dyDescent="0.25">
      <c r="B35" s="219"/>
      <c r="C35" s="17" t="s">
        <v>64</v>
      </c>
      <c r="D35" s="19">
        <f>'AUX Probabilidades'!C48</f>
        <v>4.1666666666666664E-2</v>
      </c>
      <c r="E35" s="19">
        <f>'AUX Probabilidades'!D48</f>
        <v>0.5625</v>
      </c>
      <c r="F35" s="19">
        <f>'AUX Probabilidades'!E48</f>
        <v>0.33333333333333331</v>
      </c>
      <c r="G35" s="19">
        <f>'AUX Probabilidades'!F48</f>
        <v>6.25E-2</v>
      </c>
      <c r="H35" s="19"/>
      <c r="I35" s="19"/>
      <c r="J35" s="19"/>
      <c r="K35" s="19"/>
      <c r="L35" s="19"/>
      <c r="M35" s="19"/>
      <c r="N35" s="19"/>
    </row>
    <row r="36" spans="2:14" x14ac:dyDescent="0.25">
      <c r="B36" s="219" t="s">
        <v>13</v>
      </c>
      <c r="C36" s="17" t="s">
        <v>65</v>
      </c>
      <c r="D36" s="18" t="s">
        <v>70</v>
      </c>
      <c r="E36" s="18" t="s">
        <v>71</v>
      </c>
      <c r="F36" s="18" t="s">
        <v>72</v>
      </c>
      <c r="G36" s="18" t="s">
        <v>73</v>
      </c>
      <c r="H36" s="18" t="s">
        <v>74</v>
      </c>
      <c r="I36" s="18"/>
      <c r="J36" s="18"/>
      <c r="K36" s="18"/>
      <c r="L36" s="18"/>
      <c r="M36" s="18"/>
      <c r="N36" s="18"/>
    </row>
    <row r="37" spans="2:14" x14ac:dyDescent="0.25">
      <c r="B37" s="219"/>
      <c r="C37" s="17" t="s">
        <v>64</v>
      </c>
      <c r="D37" s="19">
        <f>'AUX Probabilidades'!C49</f>
        <v>8.8235294117647065E-2</v>
      </c>
      <c r="E37" s="19">
        <f>'AUX Probabilidades'!D49</f>
        <v>0.67647058823529416</v>
      </c>
      <c r="F37" s="19">
        <f>'AUX Probabilidades'!E49</f>
        <v>0.20588235294117646</v>
      </c>
      <c r="G37" s="19">
        <f>'AUX Probabilidades'!F49</f>
        <v>0</v>
      </c>
      <c r="H37" s="19">
        <f>'AUX Probabilidades'!G49</f>
        <v>2.9411764705882353E-2</v>
      </c>
      <c r="I37" s="19"/>
      <c r="J37" s="19"/>
      <c r="K37" s="19"/>
      <c r="L37" s="19"/>
      <c r="M37" s="19"/>
      <c r="N37" s="19"/>
    </row>
    <row r="38" spans="2:14" x14ac:dyDescent="0.25">
      <c r="B38" s="219" t="s">
        <v>14</v>
      </c>
      <c r="C38" s="17" t="s">
        <v>65</v>
      </c>
      <c r="D38" s="18" t="s">
        <v>75</v>
      </c>
      <c r="E38" s="18" t="s">
        <v>76</v>
      </c>
      <c r="F38" s="18" t="s">
        <v>77</v>
      </c>
      <c r="G38" s="18"/>
      <c r="H38" s="18"/>
      <c r="I38" s="18"/>
      <c r="J38" s="18"/>
      <c r="K38" s="18"/>
      <c r="L38" s="18"/>
      <c r="M38" s="18"/>
      <c r="N38" s="18"/>
    </row>
    <row r="39" spans="2:14" x14ac:dyDescent="0.25">
      <c r="B39" s="219"/>
      <c r="C39" s="17" t="s">
        <v>64</v>
      </c>
      <c r="D39" s="19">
        <f>'AUX Probabilidades'!C50</f>
        <v>0.33333333333333331</v>
      </c>
      <c r="E39" s="19">
        <f>'AUX Probabilidades'!D50</f>
        <v>0.33333333333333331</v>
      </c>
      <c r="F39" s="19">
        <f>'AUX Probabilidades'!E50</f>
        <v>0.33333333333333331</v>
      </c>
      <c r="G39" s="19"/>
      <c r="H39" s="19"/>
      <c r="I39" s="19"/>
      <c r="J39" s="19"/>
      <c r="K39" s="19"/>
      <c r="L39" s="19"/>
      <c r="M39" s="19"/>
      <c r="N39" s="19"/>
    </row>
    <row r="40" spans="2:14" x14ac:dyDescent="0.25">
      <c r="B40" s="219" t="s">
        <v>15</v>
      </c>
      <c r="C40" s="17" t="s">
        <v>65</v>
      </c>
      <c r="D40" s="18" t="s">
        <v>75</v>
      </c>
      <c r="E40" s="18" t="s">
        <v>76</v>
      </c>
      <c r="F40" s="18" t="s">
        <v>77</v>
      </c>
      <c r="G40" s="18"/>
      <c r="H40" s="18"/>
      <c r="I40" s="18"/>
      <c r="J40" s="18"/>
      <c r="K40" s="18"/>
      <c r="L40" s="18"/>
      <c r="M40" s="18"/>
      <c r="N40" s="18"/>
    </row>
    <row r="41" spans="2:14" x14ac:dyDescent="0.25">
      <c r="B41" s="219"/>
      <c r="C41" s="17" t="s">
        <v>64</v>
      </c>
      <c r="D41" s="19">
        <f>'AUX Probabilidades'!C51</f>
        <v>0.56521739130434778</v>
      </c>
      <c r="E41" s="19">
        <f>'AUX Probabilidades'!D51</f>
        <v>0.13043478260869565</v>
      </c>
      <c r="F41" s="19">
        <f>'AUX Probabilidades'!E51</f>
        <v>0.30434782608695654</v>
      </c>
      <c r="G41" s="19"/>
      <c r="H41" s="19"/>
      <c r="I41" s="19"/>
      <c r="J41" s="19"/>
      <c r="K41" s="19"/>
      <c r="L41" s="19"/>
      <c r="M41" s="19"/>
      <c r="N41" s="19"/>
    </row>
    <row r="42" spans="2:14" x14ac:dyDescent="0.25">
      <c r="B42" s="219" t="s">
        <v>9</v>
      </c>
      <c r="C42" s="17" t="s">
        <v>65</v>
      </c>
      <c r="D42" s="18" t="s">
        <v>78</v>
      </c>
      <c r="E42" s="18" t="s">
        <v>79</v>
      </c>
      <c r="F42" s="18" t="s">
        <v>80</v>
      </c>
      <c r="G42" s="18" t="s">
        <v>81</v>
      </c>
      <c r="H42" s="18"/>
      <c r="I42" s="18"/>
      <c r="J42" s="18"/>
      <c r="K42" s="18"/>
      <c r="L42" s="18"/>
      <c r="M42" s="18"/>
      <c r="N42" s="18"/>
    </row>
    <row r="43" spans="2:14" x14ac:dyDescent="0.25">
      <c r="B43" s="219"/>
      <c r="C43" s="17" t="s">
        <v>64</v>
      </c>
      <c r="D43" s="19">
        <f>'AUX Probabilidades'!C54</f>
        <v>0.5</v>
      </c>
      <c r="E43" s="19">
        <f>'AUX Probabilidades'!D54</f>
        <v>0</v>
      </c>
      <c r="F43" s="19">
        <f>'AUX Probabilidades'!E54</f>
        <v>0.5</v>
      </c>
      <c r="G43" s="19">
        <f>'AUX Probabilidades'!F54</f>
        <v>0</v>
      </c>
      <c r="H43" s="19"/>
      <c r="I43" s="19"/>
      <c r="J43" s="19"/>
      <c r="K43" s="19"/>
      <c r="L43" s="19"/>
      <c r="M43" s="19"/>
      <c r="N43" s="19"/>
    </row>
    <row r="44" spans="2:14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</row>
    <row r="45" spans="2:14" ht="30" customHeight="1" x14ac:dyDescent="0.25">
      <c r="B45" s="220" t="s">
        <v>63</v>
      </c>
      <c r="C45" s="220"/>
      <c r="D45" s="220"/>
      <c r="E45" s="220"/>
      <c r="F45" s="220"/>
      <c r="G45" s="220"/>
      <c r="H45" s="220"/>
      <c r="I45" s="220"/>
      <c r="J45" s="220"/>
      <c r="K45" s="220"/>
      <c r="L45" s="220"/>
      <c r="M45" s="220"/>
      <c r="N45" s="220"/>
    </row>
    <row r="46" spans="2:14" x14ac:dyDescent="0.25">
      <c r="B46" s="219" t="s">
        <v>21</v>
      </c>
      <c r="C46" s="17" t="s">
        <v>65</v>
      </c>
      <c r="D46" s="18">
        <v>0</v>
      </c>
      <c r="E46" s="18">
        <v>1</v>
      </c>
      <c r="F46" s="18">
        <v>2</v>
      </c>
      <c r="G46" s="18">
        <v>3</v>
      </c>
      <c r="H46" s="18">
        <v>4</v>
      </c>
      <c r="I46" s="18">
        <v>5</v>
      </c>
      <c r="J46" s="18">
        <v>6</v>
      </c>
      <c r="K46" s="18">
        <v>7</v>
      </c>
      <c r="L46" s="18">
        <v>8</v>
      </c>
      <c r="M46" s="18">
        <v>9</v>
      </c>
      <c r="N46" s="18">
        <v>10</v>
      </c>
    </row>
    <row r="47" spans="2:14" x14ac:dyDescent="0.25">
      <c r="B47" s="219"/>
      <c r="C47" s="17" t="s">
        <v>64</v>
      </c>
      <c r="D47" s="19">
        <f>'AUX Probabilidades'!C57</f>
        <v>0.6</v>
      </c>
      <c r="E47" s="19">
        <f>'AUX Probabilidades'!D57</f>
        <v>0.4</v>
      </c>
      <c r="F47" s="19">
        <f>'AUX Probabilidades'!E57</f>
        <v>0</v>
      </c>
      <c r="G47" s="19">
        <f>'AUX Probabilidades'!F57</f>
        <v>0</v>
      </c>
      <c r="H47" s="19">
        <f>'AUX Probabilidades'!G57</f>
        <v>0</v>
      </c>
      <c r="I47" s="19">
        <f>'AUX Probabilidades'!H57</f>
        <v>0</v>
      </c>
      <c r="J47" s="19">
        <f>'AUX Probabilidades'!I57</f>
        <v>0</v>
      </c>
      <c r="K47" s="19">
        <f>'AUX Probabilidades'!J57</f>
        <v>0</v>
      </c>
      <c r="L47" s="19">
        <f>'AUX Probabilidades'!K57</f>
        <v>0</v>
      </c>
      <c r="M47" s="19">
        <f>'AUX Probabilidades'!L57</f>
        <v>0</v>
      </c>
      <c r="N47" s="19">
        <f>'AUX Probabilidades'!M57</f>
        <v>0</v>
      </c>
    </row>
    <row r="48" spans="2:14" x14ac:dyDescent="0.25">
      <c r="B48" s="219" t="s">
        <v>20</v>
      </c>
      <c r="C48" s="17" t="s">
        <v>65</v>
      </c>
      <c r="D48" s="18">
        <v>0</v>
      </c>
      <c r="E48" s="18">
        <v>1</v>
      </c>
      <c r="F48" s="18">
        <v>2</v>
      </c>
      <c r="G48" s="18">
        <v>3</v>
      </c>
      <c r="H48" s="18">
        <v>4</v>
      </c>
      <c r="I48" s="18">
        <v>5</v>
      </c>
      <c r="J48" s="18">
        <v>6</v>
      </c>
      <c r="K48" s="18">
        <v>7</v>
      </c>
      <c r="L48" s="18">
        <v>8</v>
      </c>
      <c r="M48" s="18">
        <v>9</v>
      </c>
      <c r="N48" s="18">
        <v>10</v>
      </c>
    </row>
    <row r="49" spans="2:14" x14ac:dyDescent="0.25">
      <c r="B49" s="219"/>
      <c r="C49" s="17" t="s">
        <v>64</v>
      </c>
      <c r="D49" s="19">
        <f>'AUX Probabilidades'!C58</f>
        <v>0.29411764705882354</v>
      </c>
      <c r="E49" s="19">
        <f>'AUX Probabilidades'!D58</f>
        <v>0.58823529411764708</v>
      </c>
      <c r="F49" s="19">
        <f>'AUX Probabilidades'!E58</f>
        <v>5.8823529411764705E-2</v>
      </c>
      <c r="G49" s="19">
        <f>'AUX Probabilidades'!F58</f>
        <v>5.8823529411764705E-2</v>
      </c>
      <c r="H49" s="19">
        <f>'AUX Probabilidades'!G58</f>
        <v>0</v>
      </c>
      <c r="I49" s="19">
        <f>'AUX Probabilidades'!H58</f>
        <v>0</v>
      </c>
      <c r="J49" s="19">
        <f>'AUX Probabilidades'!I58</f>
        <v>0</v>
      </c>
      <c r="K49" s="19">
        <f>'AUX Probabilidades'!J58</f>
        <v>0</v>
      </c>
      <c r="L49" s="19">
        <f>'AUX Probabilidades'!K58</f>
        <v>0</v>
      </c>
      <c r="M49" s="19">
        <f>'AUX Probabilidades'!L58</f>
        <v>0</v>
      </c>
      <c r="N49" s="19">
        <f>'AUX Probabilidades'!M58</f>
        <v>0</v>
      </c>
    </row>
    <row r="50" spans="2:14" x14ac:dyDescent="0.25">
      <c r="B50" s="219" t="s">
        <v>2</v>
      </c>
      <c r="C50" s="17" t="s">
        <v>65</v>
      </c>
      <c r="D50" s="18" t="s">
        <v>66</v>
      </c>
      <c r="E50" s="18" t="s">
        <v>67</v>
      </c>
      <c r="F50" s="18" t="s">
        <v>68</v>
      </c>
      <c r="G50" s="18" t="s">
        <v>69</v>
      </c>
      <c r="H50" s="18"/>
      <c r="I50" s="18"/>
      <c r="J50" s="18"/>
      <c r="K50" s="18"/>
      <c r="L50" s="18"/>
      <c r="M50" s="18"/>
      <c r="N50" s="18"/>
    </row>
    <row r="51" spans="2:14" x14ac:dyDescent="0.25">
      <c r="B51" s="219"/>
      <c r="C51" s="17" t="s">
        <v>64</v>
      </c>
      <c r="D51" s="19">
        <f>'AUX Probabilidades'!C59</f>
        <v>0</v>
      </c>
      <c r="E51" s="19">
        <f>'AUX Probabilidades'!D59</f>
        <v>0.28260869565217389</v>
      </c>
      <c r="F51" s="19">
        <f>'AUX Probabilidades'!E59</f>
        <v>0.2608695652173913</v>
      </c>
      <c r="G51" s="19">
        <f>'AUX Probabilidades'!F59</f>
        <v>0.45652173913043476</v>
      </c>
      <c r="H51" s="19"/>
      <c r="I51" s="19"/>
      <c r="J51" s="19"/>
      <c r="K51" s="19"/>
      <c r="L51" s="19"/>
      <c r="M51" s="19"/>
      <c r="N51" s="19"/>
    </row>
    <row r="52" spans="2:14" x14ac:dyDescent="0.25">
      <c r="B52" s="219" t="s">
        <v>12</v>
      </c>
      <c r="C52" s="17" t="s">
        <v>65</v>
      </c>
      <c r="D52" s="18" t="s">
        <v>66</v>
      </c>
      <c r="E52" s="18" t="s">
        <v>67</v>
      </c>
      <c r="F52" s="18" t="s">
        <v>68</v>
      </c>
      <c r="G52" s="18" t="s">
        <v>69</v>
      </c>
      <c r="H52" s="18"/>
      <c r="I52" s="18"/>
      <c r="J52" s="18"/>
      <c r="K52" s="18"/>
      <c r="L52" s="18"/>
      <c r="M52" s="18"/>
      <c r="N52" s="18"/>
    </row>
    <row r="53" spans="2:14" x14ac:dyDescent="0.25">
      <c r="B53" s="219"/>
      <c r="C53" s="17" t="s">
        <v>64</v>
      </c>
      <c r="D53" s="19">
        <f>'AUX Probabilidades'!C60</f>
        <v>0</v>
      </c>
      <c r="E53" s="19">
        <f>'AUX Probabilidades'!D60</f>
        <v>0.27027027027027029</v>
      </c>
      <c r="F53" s="19">
        <f>'AUX Probabilidades'!E60</f>
        <v>0.24324324324324326</v>
      </c>
      <c r="G53" s="19">
        <f>'AUX Probabilidades'!F60</f>
        <v>0.48648648648648651</v>
      </c>
      <c r="H53" s="19"/>
      <c r="I53" s="19"/>
      <c r="J53" s="19"/>
      <c r="K53" s="19"/>
      <c r="L53" s="19"/>
      <c r="M53" s="19"/>
      <c r="N53" s="19"/>
    </row>
    <row r="54" spans="2:14" x14ac:dyDescent="0.25">
      <c r="B54" s="219" t="s">
        <v>11</v>
      </c>
      <c r="C54" s="17" t="s">
        <v>65</v>
      </c>
      <c r="D54" s="18" t="s">
        <v>66</v>
      </c>
      <c r="E54" s="18" t="s">
        <v>67</v>
      </c>
      <c r="F54" s="18" t="s">
        <v>68</v>
      </c>
      <c r="G54" s="18" t="s">
        <v>69</v>
      </c>
      <c r="H54" s="18"/>
      <c r="I54" s="18"/>
      <c r="J54" s="18"/>
      <c r="K54" s="18"/>
      <c r="L54" s="18"/>
      <c r="M54" s="18"/>
      <c r="N54" s="18"/>
    </row>
    <row r="55" spans="2:14" x14ac:dyDescent="0.25">
      <c r="B55" s="219"/>
      <c r="C55" s="17" t="s">
        <v>64</v>
      </c>
      <c r="D55" s="19">
        <f>'AUX Probabilidades'!C61</f>
        <v>4.1666666666666664E-2</v>
      </c>
      <c r="E55" s="19">
        <f>'AUX Probabilidades'!D61</f>
        <v>0.125</v>
      </c>
      <c r="F55" s="19">
        <f>'AUX Probabilidades'!E61</f>
        <v>0.35416666666666669</v>
      </c>
      <c r="G55" s="19">
        <f>'AUX Probabilidades'!F61</f>
        <v>0.47916666666666669</v>
      </c>
      <c r="H55" s="19"/>
      <c r="I55" s="19"/>
      <c r="J55" s="19"/>
      <c r="K55" s="19"/>
      <c r="L55" s="19"/>
      <c r="M55" s="19"/>
      <c r="N55" s="19"/>
    </row>
    <row r="56" spans="2:14" x14ac:dyDescent="0.25">
      <c r="B56" s="219" t="s">
        <v>13</v>
      </c>
      <c r="C56" s="17" t="s">
        <v>65</v>
      </c>
      <c r="D56" s="18" t="s">
        <v>70</v>
      </c>
      <c r="E56" s="18" t="s">
        <v>71</v>
      </c>
      <c r="F56" s="18" t="s">
        <v>72</v>
      </c>
      <c r="G56" s="18" t="s">
        <v>73</v>
      </c>
      <c r="H56" s="18" t="s">
        <v>74</v>
      </c>
      <c r="I56" s="18"/>
      <c r="J56" s="18"/>
      <c r="K56" s="18"/>
      <c r="L56" s="18"/>
      <c r="M56" s="18"/>
      <c r="N56" s="18"/>
    </row>
    <row r="57" spans="2:14" x14ac:dyDescent="0.25">
      <c r="B57" s="219"/>
      <c r="C57" s="17" t="s">
        <v>64</v>
      </c>
      <c r="D57" s="19">
        <f>'AUX Probabilidades'!C62</f>
        <v>0.17647058823529413</v>
      </c>
      <c r="E57" s="19">
        <f>'AUX Probabilidades'!D62</f>
        <v>0.61764705882352944</v>
      </c>
      <c r="F57" s="19">
        <f>'AUX Probabilidades'!E62</f>
        <v>0.20588235294117646</v>
      </c>
      <c r="G57" s="19">
        <f>'AUX Probabilidades'!F62</f>
        <v>0</v>
      </c>
      <c r="H57" s="19">
        <f>'AUX Probabilidades'!G62</f>
        <v>0</v>
      </c>
      <c r="I57" s="19"/>
      <c r="J57" s="19"/>
      <c r="K57" s="19"/>
      <c r="L57" s="19"/>
      <c r="M57" s="19"/>
      <c r="N57" s="19"/>
    </row>
    <row r="58" spans="2:14" x14ac:dyDescent="0.25">
      <c r="B58" s="219" t="s">
        <v>14</v>
      </c>
      <c r="C58" s="17" t="s">
        <v>65</v>
      </c>
      <c r="D58" s="18" t="s">
        <v>75</v>
      </c>
      <c r="E58" s="18" t="s">
        <v>76</v>
      </c>
      <c r="F58" s="18" t="s">
        <v>77</v>
      </c>
      <c r="G58" s="18"/>
      <c r="H58" s="18"/>
      <c r="I58" s="18"/>
      <c r="J58" s="18"/>
      <c r="K58" s="18"/>
      <c r="L58" s="18"/>
      <c r="M58" s="18"/>
      <c r="N58" s="18"/>
    </row>
    <row r="59" spans="2:14" x14ac:dyDescent="0.25">
      <c r="B59" s="219"/>
      <c r="C59" s="17" t="s">
        <v>64</v>
      </c>
      <c r="D59" s="19">
        <f>'AUX Probabilidades'!C63</f>
        <v>0.55555555555555558</v>
      </c>
      <c r="E59" s="19">
        <f>'AUX Probabilidades'!D63</f>
        <v>0.33333333333333331</v>
      </c>
      <c r="F59" s="19">
        <f>'AUX Probabilidades'!E63</f>
        <v>0.1111111111111111</v>
      </c>
      <c r="G59" s="19"/>
      <c r="H59" s="19"/>
      <c r="I59" s="19"/>
      <c r="J59" s="19"/>
      <c r="K59" s="19"/>
      <c r="L59" s="19"/>
      <c r="M59" s="19"/>
      <c r="N59" s="19"/>
    </row>
    <row r="60" spans="2:14" x14ac:dyDescent="0.25">
      <c r="B60" s="219" t="s">
        <v>15</v>
      </c>
      <c r="C60" s="17" t="s">
        <v>65</v>
      </c>
      <c r="D60" s="18" t="s">
        <v>75</v>
      </c>
      <c r="E60" s="18" t="s">
        <v>76</v>
      </c>
      <c r="F60" s="18" t="s">
        <v>77</v>
      </c>
      <c r="G60" s="18"/>
      <c r="H60" s="18"/>
      <c r="I60" s="18"/>
      <c r="J60" s="18"/>
      <c r="K60" s="18"/>
      <c r="L60" s="18"/>
      <c r="M60" s="18"/>
      <c r="N60" s="18"/>
    </row>
    <row r="61" spans="2:14" x14ac:dyDescent="0.25">
      <c r="B61" s="219"/>
      <c r="C61" s="17" t="s">
        <v>64</v>
      </c>
      <c r="D61" s="19">
        <f>'AUX Probabilidades'!C64</f>
        <v>0.69565217391304346</v>
      </c>
      <c r="E61" s="19">
        <f>'AUX Probabilidades'!D64</f>
        <v>0.17391304347826086</v>
      </c>
      <c r="F61" s="19">
        <f>'AUX Probabilidades'!E64</f>
        <v>0.13043478260869565</v>
      </c>
      <c r="G61" s="19"/>
      <c r="H61" s="19"/>
      <c r="I61" s="19"/>
      <c r="J61" s="19"/>
      <c r="K61" s="19"/>
      <c r="L61" s="19"/>
      <c r="M61" s="19"/>
      <c r="N61" s="19"/>
    </row>
    <row r="62" spans="2:14" x14ac:dyDescent="0.25">
      <c r="B62" s="219" t="s">
        <v>9</v>
      </c>
      <c r="C62" s="17" t="s">
        <v>65</v>
      </c>
      <c r="D62" s="18" t="s">
        <v>78</v>
      </c>
      <c r="E62" s="18" t="s">
        <v>79</v>
      </c>
      <c r="F62" s="18" t="s">
        <v>80</v>
      </c>
      <c r="G62" s="18" t="s">
        <v>81</v>
      </c>
      <c r="H62" s="18"/>
      <c r="I62" s="18"/>
      <c r="J62" s="18"/>
      <c r="K62" s="18"/>
      <c r="L62" s="18"/>
      <c r="M62" s="18"/>
      <c r="N62" s="18"/>
    </row>
    <row r="63" spans="2:14" ht="12.75" customHeight="1" x14ac:dyDescent="0.25">
      <c r="B63" s="219"/>
      <c r="C63" s="17" t="s">
        <v>64</v>
      </c>
      <c r="D63" s="19">
        <f>'AUX Probabilidades'!C67</f>
        <v>1</v>
      </c>
      <c r="E63" s="19">
        <f>'AUX Probabilidades'!D67</f>
        <v>0</v>
      </c>
      <c r="F63" s="19">
        <f>'AUX Probabilidades'!E67</f>
        <v>0</v>
      </c>
      <c r="G63" s="19">
        <f>'AUX Probabilidades'!F67</f>
        <v>0</v>
      </c>
      <c r="H63" s="19"/>
      <c r="I63" s="19"/>
      <c r="J63" s="19"/>
      <c r="K63" s="19"/>
      <c r="L63" s="19"/>
      <c r="M63" s="19"/>
      <c r="N63" s="19"/>
    </row>
    <row r="65" spans="2:14" ht="15.75" x14ac:dyDescent="0.25">
      <c r="B65" s="220" t="s">
        <v>168</v>
      </c>
      <c r="C65" s="220"/>
      <c r="D65" s="220"/>
      <c r="E65" s="220"/>
      <c r="F65" s="220"/>
      <c r="G65" s="220"/>
      <c r="H65" s="220"/>
      <c r="I65" s="220"/>
      <c r="J65" s="220"/>
      <c r="K65" s="220"/>
      <c r="L65" s="220"/>
      <c r="M65" s="220"/>
      <c r="N65" s="220"/>
    </row>
    <row r="66" spans="2:14" x14ac:dyDescent="0.25">
      <c r="B66" s="219" t="s">
        <v>21</v>
      </c>
      <c r="C66" s="68" t="s">
        <v>65</v>
      </c>
      <c r="D66" s="18">
        <v>0</v>
      </c>
      <c r="E66" s="18">
        <v>1</v>
      </c>
      <c r="F66" s="18">
        <v>2</v>
      </c>
      <c r="G66" s="18">
        <v>3</v>
      </c>
      <c r="H66" s="18">
        <v>4</v>
      </c>
      <c r="I66" s="18">
        <v>5</v>
      </c>
      <c r="J66" s="18">
        <v>6</v>
      </c>
      <c r="K66" s="18">
        <v>7</v>
      </c>
      <c r="L66" s="18">
        <v>8</v>
      </c>
      <c r="M66" s="18">
        <v>9</v>
      </c>
      <c r="N66" s="18">
        <v>10</v>
      </c>
    </row>
    <row r="67" spans="2:14" x14ac:dyDescent="0.25">
      <c r="B67" s="219"/>
      <c r="C67" s="68" t="s">
        <v>64</v>
      </c>
      <c r="D67" s="19">
        <f>'AUX Probabilidades'!C138</f>
        <v>1</v>
      </c>
      <c r="E67" s="19">
        <f>'AUX Probabilidades'!D138</f>
        <v>0</v>
      </c>
      <c r="F67" s="19">
        <f>'AUX Probabilidades'!E138</f>
        <v>0</v>
      </c>
      <c r="G67" s="19">
        <f>'AUX Probabilidades'!F138</f>
        <v>0</v>
      </c>
      <c r="H67" s="19">
        <f>'AUX Probabilidades'!G138</f>
        <v>0</v>
      </c>
      <c r="I67" s="19">
        <f>'AUX Probabilidades'!H138</f>
        <v>0</v>
      </c>
      <c r="J67" s="19">
        <f>'AUX Probabilidades'!I138</f>
        <v>0</v>
      </c>
      <c r="K67" s="19">
        <f>'AUX Probabilidades'!J138</f>
        <v>0</v>
      </c>
      <c r="L67" s="19">
        <f>'AUX Probabilidades'!K138</f>
        <v>0</v>
      </c>
      <c r="M67" s="19">
        <f>'AUX Probabilidades'!L138</f>
        <v>0</v>
      </c>
      <c r="N67" s="19">
        <f>'AUX Probabilidades'!M138</f>
        <v>0</v>
      </c>
    </row>
    <row r="68" spans="2:14" x14ac:dyDescent="0.25">
      <c r="B68" s="219" t="s">
        <v>20</v>
      </c>
      <c r="C68" s="68" t="s">
        <v>65</v>
      </c>
      <c r="D68" s="18">
        <v>0</v>
      </c>
      <c r="E68" s="18">
        <v>1</v>
      </c>
      <c r="F68" s="18">
        <v>2</v>
      </c>
      <c r="G68" s="18">
        <v>3</v>
      </c>
      <c r="H68" s="18">
        <v>4</v>
      </c>
      <c r="I68" s="18">
        <v>5</v>
      </c>
      <c r="J68" s="18">
        <v>6</v>
      </c>
      <c r="K68" s="18">
        <v>7</v>
      </c>
      <c r="L68" s="18">
        <v>8</v>
      </c>
      <c r="M68" s="18">
        <v>9</v>
      </c>
      <c r="N68" s="18">
        <v>10</v>
      </c>
    </row>
    <row r="69" spans="2:14" x14ac:dyDescent="0.25">
      <c r="B69" s="219"/>
      <c r="C69" s="68" t="s">
        <v>64</v>
      </c>
      <c r="D69" s="19">
        <f>'AUX Probabilidades'!C139</f>
        <v>0.35294117647058826</v>
      </c>
      <c r="E69" s="19">
        <f>'AUX Probabilidades'!D139</f>
        <v>0.47058823529411764</v>
      </c>
      <c r="F69" s="19">
        <f>'AUX Probabilidades'!E139</f>
        <v>0.11764705882352941</v>
      </c>
      <c r="G69" s="19">
        <f>'AUX Probabilidades'!F139</f>
        <v>5.8823529411764705E-2</v>
      </c>
      <c r="H69" s="19">
        <f>'AUX Probabilidades'!G139</f>
        <v>0</v>
      </c>
      <c r="I69" s="19">
        <f>'AUX Probabilidades'!H139</f>
        <v>0</v>
      </c>
      <c r="J69" s="19">
        <f>'AUX Probabilidades'!I139</f>
        <v>0</v>
      </c>
      <c r="K69" s="19">
        <f>'AUX Probabilidades'!J139</f>
        <v>0</v>
      </c>
      <c r="L69" s="19">
        <f>'AUX Probabilidades'!K139</f>
        <v>0</v>
      </c>
      <c r="M69" s="19">
        <f>'AUX Probabilidades'!L139</f>
        <v>0</v>
      </c>
      <c r="N69" s="19">
        <f>'AUX Probabilidades'!M139</f>
        <v>0</v>
      </c>
    </row>
    <row r="71" spans="2:14" ht="15.75" x14ac:dyDescent="0.25">
      <c r="B71" s="220" t="s">
        <v>170</v>
      </c>
      <c r="C71" s="220"/>
      <c r="D71" s="220"/>
      <c r="E71" s="220"/>
      <c r="F71" s="220"/>
      <c r="G71" s="220"/>
      <c r="H71" s="220"/>
      <c r="I71" s="220"/>
      <c r="J71" s="220"/>
      <c r="K71" s="220"/>
      <c r="L71" s="220"/>
      <c r="M71" s="220"/>
      <c r="N71" s="220"/>
    </row>
    <row r="72" spans="2:14" x14ac:dyDescent="0.25">
      <c r="B72" s="219" t="s">
        <v>21</v>
      </c>
      <c r="C72" s="68" t="s">
        <v>65</v>
      </c>
      <c r="D72" s="18">
        <v>0</v>
      </c>
      <c r="E72" s="18">
        <v>1</v>
      </c>
      <c r="F72" s="18">
        <v>2</v>
      </c>
      <c r="G72" s="18">
        <v>3</v>
      </c>
      <c r="H72" s="18">
        <v>4</v>
      </c>
      <c r="I72" s="18">
        <v>5</v>
      </c>
      <c r="J72" s="18">
        <v>6</v>
      </c>
      <c r="K72" s="18">
        <v>7</v>
      </c>
      <c r="L72" s="18">
        <v>8</v>
      </c>
      <c r="M72" s="18">
        <v>9</v>
      </c>
      <c r="N72" s="18">
        <v>10</v>
      </c>
    </row>
    <row r="73" spans="2:14" x14ac:dyDescent="0.25">
      <c r="B73" s="219"/>
      <c r="C73" s="68" t="s">
        <v>64</v>
      </c>
      <c r="D73" s="19">
        <f>'AUX Probabilidades'!C142</f>
        <v>0.8</v>
      </c>
      <c r="E73" s="19">
        <f>'AUX Probabilidades'!D142</f>
        <v>0.2</v>
      </c>
      <c r="F73" s="19">
        <f>'AUX Probabilidades'!E142</f>
        <v>0</v>
      </c>
      <c r="G73" s="19">
        <f>'AUX Probabilidades'!F142</f>
        <v>0</v>
      </c>
      <c r="H73" s="19">
        <f>'AUX Probabilidades'!G142</f>
        <v>0</v>
      </c>
      <c r="I73" s="19">
        <f>'AUX Probabilidades'!H142</f>
        <v>0</v>
      </c>
      <c r="J73" s="19">
        <f>'AUX Probabilidades'!I142</f>
        <v>0</v>
      </c>
      <c r="K73" s="19">
        <f>'AUX Probabilidades'!J142</f>
        <v>0</v>
      </c>
      <c r="L73" s="19">
        <f>'AUX Probabilidades'!K142</f>
        <v>0</v>
      </c>
      <c r="M73" s="19">
        <f>'AUX Probabilidades'!L142</f>
        <v>0</v>
      </c>
      <c r="N73" s="19">
        <f>'AUX Probabilidades'!M142</f>
        <v>0</v>
      </c>
    </row>
    <row r="74" spans="2:14" x14ac:dyDescent="0.25">
      <c r="B74" s="219" t="s">
        <v>20</v>
      </c>
      <c r="C74" s="68" t="s">
        <v>65</v>
      </c>
      <c r="D74" s="18">
        <v>0</v>
      </c>
      <c r="E74" s="18">
        <v>1</v>
      </c>
      <c r="F74" s="18">
        <v>2</v>
      </c>
      <c r="G74" s="18">
        <v>3</v>
      </c>
      <c r="H74" s="18">
        <v>4</v>
      </c>
      <c r="I74" s="18">
        <v>5</v>
      </c>
      <c r="J74" s="18">
        <v>6</v>
      </c>
      <c r="K74" s="18">
        <v>7</v>
      </c>
      <c r="L74" s="18">
        <v>8</v>
      </c>
      <c r="M74" s="18">
        <v>9</v>
      </c>
      <c r="N74" s="18">
        <v>10</v>
      </c>
    </row>
    <row r="75" spans="2:14" x14ac:dyDescent="0.25">
      <c r="B75" s="219"/>
      <c r="C75" s="68" t="s">
        <v>64</v>
      </c>
      <c r="D75" s="19">
        <f>'AUX Probabilidades'!C143</f>
        <v>0.35294117647058826</v>
      </c>
      <c r="E75" s="19">
        <f>'AUX Probabilidades'!D143</f>
        <v>0.52941176470588236</v>
      </c>
      <c r="F75" s="19">
        <f>'AUX Probabilidades'!E143</f>
        <v>5.8823529411764705E-2</v>
      </c>
      <c r="G75" s="19">
        <f>'AUX Probabilidades'!F143</f>
        <v>0</v>
      </c>
      <c r="H75" s="19">
        <f>'AUX Probabilidades'!G143</f>
        <v>0</v>
      </c>
      <c r="I75" s="19">
        <f>'AUX Probabilidades'!H143</f>
        <v>0</v>
      </c>
      <c r="J75" s="19">
        <f>'AUX Probabilidades'!I143</f>
        <v>0</v>
      </c>
      <c r="K75" s="19">
        <f>'AUX Probabilidades'!J143</f>
        <v>0</v>
      </c>
      <c r="L75" s="19">
        <f>'AUX Probabilidades'!K143</f>
        <v>5.8823529411764705E-2</v>
      </c>
      <c r="M75" s="19">
        <f>'AUX Probabilidades'!L143</f>
        <v>0</v>
      </c>
      <c r="N75" s="19">
        <f>'AUX Probabilidades'!M143</f>
        <v>0</v>
      </c>
    </row>
    <row r="77" spans="2:14" ht="15.75" x14ac:dyDescent="0.25">
      <c r="B77" s="220" t="s">
        <v>169</v>
      </c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N77" s="220"/>
    </row>
    <row r="78" spans="2:14" x14ac:dyDescent="0.25">
      <c r="B78" s="219" t="s">
        <v>21</v>
      </c>
      <c r="C78" s="68" t="s">
        <v>65</v>
      </c>
      <c r="D78" s="18">
        <v>0</v>
      </c>
      <c r="E78" s="18">
        <v>1</v>
      </c>
      <c r="F78" s="18">
        <v>2</v>
      </c>
      <c r="G78" s="18">
        <v>3</v>
      </c>
      <c r="H78" s="18">
        <v>4</v>
      </c>
      <c r="I78" s="18">
        <v>5</v>
      </c>
      <c r="J78" s="18">
        <v>6</v>
      </c>
      <c r="K78" s="18">
        <v>7</v>
      </c>
      <c r="L78" s="18">
        <v>8</v>
      </c>
      <c r="M78" s="18">
        <v>9</v>
      </c>
      <c r="N78" s="18">
        <v>10</v>
      </c>
    </row>
    <row r="79" spans="2:14" x14ac:dyDescent="0.25">
      <c r="B79" s="219"/>
      <c r="C79" s="68" t="s">
        <v>64</v>
      </c>
      <c r="D79" s="19">
        <f>'AUX Probabilidades'!C146</f>
        <v>0.8</v>
      </c>
      <c r="E79" s="19">
        <f>'AUX Probabilidades'!D146</f>
        <v>0.2</v>
      </c>
      <c r="F79" s="19">
        <f>'AUX Probabilidades'!E146</f>
        <v>0</v>
      </c>
      <c r="G79" s="19">
        <f>'AUX Probabilidades'!F146</f>
        <v>0</v>
      </c>
      <c r="H79" s="19">
        <f>'AUX Probabilidades'!G146</f>
        <v>0</v>
      </c>
      <c r="I79" s="19">
        <f>'AUX Probabilidades'!H146</f>
        <v>0</v>
      </c>
      <c r="J79" s="19">
        <f>'AUX Probabilidades'!I146</f>
        <v>0</v>
      </c>
      <c r="K79" s="19">
        <f>'AUX Probabilidades'!J146</f>
        <v>0</v>
      </c>
      <c r="L79" s="19">
        <f>'AUX Probabilidades'!K146</f>
        <v>0</v>
      </c>
      <c r="M79" s="19">
        <f>'AUX Probabilidades'!L146</f>
        <v>0</v>
      </c>
      <c r="N79" s="19">
        <f>'AUX Probabilidades'!M146</f>
        <v>0</v>
      </c>
    </row>
    <row r="80" spans="2:14" x14ac:dyDescent="0.25">
      <c r="B80" s="219" t="s">
        <v>20</v>
      </c>
      <c r="C80" s="68" t="s">
        <v>65</v>
      </c>
      <c r="D80" s="18">
        <v>0</v>
      </c>
      <c r="E80" s="18">
        <v>1</v>
      </c>
      <c r="F80" s="18">
        <v>2</v>
      </c>
      <c r="G80" s="18">
        <v>3</v>
      </c>
      <c r="H80" s="18">
        <v>4</v>
      </c>
      <c r="I80" s="18">
        <v>5</v>
      </c>
      <c r="J80" s="18">
        <v>6</v>
      </c>
      <c r="K80" s="18">
        <v>7</v>
      </c>
      <c r="L80" s="18">
        <v>8</v>
      </c>
      <c r="M80" s="18">
        <v>9</v>
      </c>
      <c r="N80" s="18">
        <v>10</v>
      </c>
    </row>
    <row r="81" spans="2:14" x14ac:dyDescent="0.25">
      <c r="B81" s="219"/>
      <c r="C81" s="68" t="s">
        <v>64</v>
      </c>
      <c r="D81" s="19">
        <f>'AUX Probabilidades'!C147</f>
        <v>0.29411764705882354</v>
      </c>
      <c r="E81" s="19">
        <f>'AUX Probabilidades'!D147</f>
        <v>0.6470588235294118</v>
      </c>
      <c r="F81" s="19">
        <f>'AUX Probabilidades'!E147</f>
        <v>0</v>
      </c>
      <c r="G81" s="19">
        <f>'AUX Probabilidades'!F147</f>
        <v>5.8823529411764705E-2</v>
      </c>
      <c r="H81" s="19">
        <f>'AUX Probabilidades'!G147</f>
        <v>0</v>
      </c>
      <c r="I81" s="19">
        <f>'AUX Probabilidades'!H147</f>
        <v>0</v>
      </c>
      <c r="J81" s="19">
        <f>'AUX Probabilidades'!I147</f>
        <v>0</v>
      </c>
      <c r="K81" s="19">
        <f>'AUX Probabilidades'!J147</f>
        <v>0</v>
      </c>
      <c r="L81" s="19">
        <f>'AUX Probabilidades'!K147</f>
        <v>0</v>
      </c>
      <c r="M81" s="19">
        <f>'AUX Probabilidades'!L147</f>
        <v>0</v>
      </c>
      <c r="N81" s="19">
        <f>'AUX Probabilidades'!M147</f>
        <v>0</v>
      </c>
    </row>
  </sheetData>
  <mergeCells count="45">
    <mergeCell ref="F20:H20"/>
    <mergeCell ref="F17:H17"/>
    <mergeCell ref="F13:I13"/>
    <mergeCell ref="K13:N13"/>
    <mergeCell ref="K14:M14"/>
    <mergeCell ref="K15:M15"/>
    <mergeCell ref="K16:M16"/>
    <mergeCell ref="K17:M17"/>
    <mergeCell ref="K18:M18"/>
    <mergeCell ref="K19:M19"/>
    <mergeCell ref="K20:M20"/>
    <mergeCell ref="F14:H14"/>
    <mergeCell ref="F15:H15"/>
    <mergeCell ref="F16:H16"/>
    <mergeCell ref="F18:H18"/>
    <mergeCell ref="F19:H19"/>
    <mergeCell ref="B58:B59"/>
    <mergeCell ref="B60:B61"/>
    <mergeCell ref="B42:B43"/>
    <mergeCell ref="B46:B47"/>
    <mergeCell ref="B48:B49"/>
    <mergeCell ref="B50:B51"/>
    <mergeCell ref="B25:N25"/>
    <mergeCell ref="B45:N45"/>
    <mergeCell ref="B52:B53"/>
    <mergeCell ref="B54:B55"/>
    <mergeCell ref="B56:B57"/>
    <mergeCell ref="B36:B37"/>
    <mergeCell ref="B38:B39"/>
    <mergeCell ref="B40:B41"/>
    <mergeCell ref="B26:B27"/>
    <mergeCell ref="B28:B29"/>
    <mergeCell ref="B30:B31"/>
    <mergeCell ref="B32:B33"/>
    <mergeCell ref="B34:B35"/>
    <mergeCell ref="B65:N65"/>
    <mergeCell ref="B66:B67"/>
    <mergeCell ref="B68:B69"/>
    <mergeCell ref="B71:N71"/>
    <mergeCell ref="B62:B63"/>
    <mergeCell ref="B72:B73"/>
    <mergeCell ref="B74:B75"/>
    <mergeCell ref="B77:N77"/>
    <mergeCell ref="B78:B79"/>
    <mergeCell ref="B80:B81"/>
  </mergeCells>
  <conditionalFormatting sqref="D63:G63 D47:N47 D27:N27 D49:N49 D51:G51 D53:G53 D55:G55 D57:H57 D59:F59 D61:F61">
    <cfRule type="aboveAverage" dxfId="4" priority="5"/>
  </conditionalFormatting>
  <conditionalFormatting sqref="D43:N43 D29:N29 D31:N31 D33:N33 D35:N35 D37:N37 D39:N39 D41:N41">
    <cfRule type="aboveAverage" dxfId="3" priority="4"/>
  </conditionalFormatting>
  <conditionalFormatting sqref="D67:N67 D69:N69">
    <cfRule type="aboveAverage" dxfId="2" priority="3"/>
  </conditionalFormatting>
  <conditionalFormatting sqref="D73:N73 D75:N75">
    <cfRule type="aboveAverage" dxfId="1" priority="2"/>
  </conditionalFormatting>
  <conditionalFormatting sqref="D79:N79 D81:N81">
    <cfRule type="aboveAverage" dxfId="0" priority="1"/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B1:Q51"/>
  <sheetViews>
    <sheetView showGridLines="0" topLeftCell="A25" workbookViewId="0">
      <selection activeCell="D40" sqref="D40"/>
    </sheetView>
  </sheetViews>
  <sheetFormatPr defaultRowHeight="15" x14ac:dyDescent="0.25"/>
  <cols>
    <col min="1" max="1" width="1" customWidth="1"/>
    <col min="2" max="2" width="11.5703125" bestFit="1" customWidth="1"/>
    <col min="3" max="3" width="12" customWidth="1"/>
    <col min="4" max="4" width="56" customWidth="1"/>
    <col min="5" max="5" width="1.28515625" customWidth="1"/>
    <col min="6" max="6" width="6.85546875" style="34" customWidth="1"/>
    <col min="7" max="17" width="5" style="34" customWidth="1"/>
  </cols>
  <sheetData>
    <row r="1" spans="2:17" ht="6.75" customHeight="1" x14ac:dyDescent="0.25"/>
    <row r="2" spans="2:17" x14ac:dyDescent="0.25">
      <c r="C2" s="3" t="s">
        <v>113</v>
      </c>
      <c r="D2" s="3" t="s">
        <v>112</v>
      </c>
      <c r="F2" s="36"/>
      <c r="G2" s="36" t="s">
        <v>147</v>
      </c>
      <c r="H2" s="36" t="s">
        <v>146</v>
      </c>
      <c r="I2" s="36" t="s">
        <v>2</v>
      </c>
      <c r="J2" s="36" t="s">
        <v>105</v>
      </c>
      <c r="K2" s="36" t="s">
        <v>106</v>
      </c>
      <c r="L2" s="36" t="s">
        <v>13</v>
      </c>
      <c r="M2" s="36" t="s">
        <v>14</v>
      </c>
      <c r="N2" s="36" t="s">
        <v>15</v>
      </c>
      <c r="O2" s="36" t="s">
        <v>150</v>
      </c>
      <c r="P2" s="36" t="s">
        <v>151</v>
      </c>
      <c r="Q2" s="36" t="s">
        <v>9</v>
      </c>
    </row>
    <row r="3" spans="2:17" x14ac:dyDescent="0.25">
      <c r="B3" t="s">
        <v>147</v>
      </c>
      <c r="C3" s="38">
        <f>Entradas!D15</f>
        <v>7</v>
      </c>
      <c r="D3" s="35" t="s">
        <v>148</v>
      </c>
      <c r="F3" s="36" t="s">
        <v>147</v>
      </c>
      <c r="G3" s="40">
        <f t="shared" ref="G3:Q13" si="0">VLOOKUP(((VLOOKUP(G$2,$B$3:$C$13,2,FALSE))-(VLOOKUP($F3,$B$3:$C$13,2,FALSE))),$C$23:$D$40,2,FALSE)</f>
        <v>1</v>
      </c>
      <c r="H3" s="40">
        <f t="shared" si="0"/>
        <v>1</v>
      </c>
      <c r="I3" s="40">
        <f t="shared" si="0"/>
        <v>0.5</v>
      </c>
      <c r="J3" s="40">
        <f t="shared" si="0"/>
        <v>0.5</v>
      </c>
      <c r="K3" s="40">
        <f t="shared" si="0"/>
        <v>0.5</v>
      </c>
      <c r="L3" s="40">
        <f t="shared" si="0"/>
        <v>0.5</v>
      </c>
      <c r="M3" s="40">
        <f t="shared" si="0"/>
        <v>4</v>
      </c>
      <c r="N3" s="40">
        <f t="shared" si="0"/>
        <v>5</v>
      </c>
      <c r="O3" s="40">
        <f t="shared" si="0"/>
        <v>0.5</v>
      </c>
      <c r="P3" s="40">
        <f t="shared" si="0"/>
        <v>0.33333333333333331</v>
      </c>
      <c r="Q3" s="40">
        <f t="shared" si="0"/>
        <v>4</v>
      </c>
    </row>
    <row r="4" spans="2:17" ht="13.5" customHeight="1" x14ac:dyDescent="0.25">
      <c r="B4" t="s">
        <v>146</v>
      </c>
      <c r="C4" s="38">
        <f>Entradas!D15</f>
        <v>7</v>
      </c>
      <c r="D4" s="35" t="s">
        <v>149</v>
      </c>
      <c r="F4" s="36" t="s">
        <v>146</v>
      </c>
      <c r="G4" s="40">
        <f t="shared" si="0"/>
        <v>1</v>
      </c>
      <c r="H4" s="40">
        <f t="shared" si="0"/>
        <v>1</v>
      </c>
      <c r="I4" s="40">
        <f t="shared" si="0"/>
        <v>0.5</v>
      </c>
      <c r="J4" s="40">
        <f t="shared" si="0"/>
        <v>0.5</v>
      </c>
      <c r="K4" s="40">
        <f t="shared" si="0"/>
        <v>0.5</v>
      </c>
      <c r="L4" s="40">
        <f t="shared" si="0"/>
        <v>0.5</v>
      </c>
      <c r="M4" s="40">
        <f t="shared" si="0"/>
        <v>4</v>
      </c>
      <c r="N4" s="40">
        <f t="shared" si="0"/>
        <v>5</v>
      </c>
      <c r="O4" s="40">
        <f t="shared" si="0"/>
        <v>0.5</v>
      </c>
      <c r="P4" s="40">
        <f t="shared" si="0"/>
        <v>0.33333333333333331</v>
      </c>
      <c r="Q4" s="40">
        <f t="shared" si="0"/>
        <v>4</v>
      </c>
    </row>
    <row r="5" spans="2:17" x14ac:dyDescent="0.25">
      <c r="B5" t="s">
        <v>2</v>
      </c>
      <c r="C5" s="38">
        <f>Entradas!D16</f>
        <v>8</v>
      </c>
      <c r="D5" s="35" t="s">
        <v>114</v>
      </c>
      <c r="F5" s="36" t="s">
        <v>2</v>
      </c>
      <c r="G5" s="40">
        <f t="shared" si="0"/>
        <v>2</v>
      </c>
      <c r="H5" s="40">
        <f t="shared" si="0"/>
        <v>2</v>
      </c>
      <c r="I5" s="40">
        <f t="shared" si="0"/>
        <v>1</v>
      </c>
      <c r="J5" s="40">
        <f t="shared" si="0"/>
        <v>1</v>
      </c>
      <c r="K5" s="40">
        <f t="shared" si="0"/>
        <v>1</v>
      </c>
      <c r="L5" s="40">
        <f t="shared" si="0"/>
        <v>1</v>
      </c>
      <c r="M5" s="40">
        <f t="shared" si="0"/>
        <v>5</v>
      </c>
      <c r="N5" s="40">
        <f t="shared" si="0"/>
        <v>6</v>
      </c>
      <c r="O5" s="40">
        <f t="shared" si="0"/>
        <v>1</v>
      </c>
      <c r="P5" s="40">
        <f t="shared" si="0"/>
        <v>0.5</v>
      </c>
      <c r="Q5" s="40">
        <f t="shared" si="0"/>
        <v>5</v>
      </c>
    </row>
    <row r="6" spans="2:17" x14ac:dyDescent="0.25">
      <c r="B6" t="s">
        <v>105</v>
      </c>
      <c r="C6" s="38">
        <f>Entradas!D16</f>
        <v>8</v>
      </c>
      <c r="D6" s="35" t="s">
        <v>115</v>
      </c>
      <c r="F6" s="36" t="s">
        <v>105</v>
      </c>
      <c r="G6" s="40">
        <f t="shared" si="0"/>
        <v>2</v>
      </c>
      <c r="H6" s="40">
        <f t="shared" si="0"/>
        <v>2</v>
      </c>
      <c r="I6" s="40">
        <f t="shared" si="0"/>
        <v>1</v>
      </c>
      <c r="J6" s="40">
        <f t="shared" si="0"/>
        <v>1</v>
      </c>
      <c r="K6" s="40">
        <f t="shared" si="0"/>
        <v>1</v>
      </c>
      <c r="L6" s="40">
        <f t="shared" si="0"/>
        <v>1</v>
      </c>
      <c r="M6" s="40">
        <f t="shared" si="0"/>
        <v>5</v>
      </c>
      <c r="N6" s="40">
        <f t="shared" si="0"/>
        <v>6</v>
      </c>
      <c r="O6" s="40">
        <f t="shared" si="0"/>
        <v>1</v>
      </c>
      <c r="P6" s="40">
        <f t="shared" si="0"/>
        <v>0.5</v>
      </c>
      <c r="Q6" s="40">
        <f t="shared" si="0"/>
        <v>5</v>
      </c>
    </row>
    <row r="7" spans="2:17" x14ac:dyDescent="0.25">
      <c r="B7" t="s">
        <v>106</v>
      </c>
      <c r="C7" s="38">
        <f>Entradas!D16</f>
        <v>8</v>
      </c>
      <c r="D7" s="35" t="s">
        <v>116</v>
      </c>
      <c r="F7" s="36" t="s">
        <v>106</v>
      </c>
      <c r="G7" s="40">
        <f t="shared" si="0"/>
        <v>2</v>
      </c>
      <c r="H7" s="40">
        <f t="shared" si="0"/>
        <v>2</v>
      </c>
      <c r="I7" s="40">
        <f t="shared" si="0"/>
        <v>1</v>
      </c>
      <c r="J7" s="40">
        <f t="shared" si="0"/>
        <v>1</v>
      </c>
      <c r="K7" s="40">
        <f t="shared" si="0"/>
        <v>1</v>
      </c>
      <c r="L7" s="40">
        <f t="shared" si="0"/>
        <v>1</v>
      </c>
      <c r="M7" s="40">
        <f t="shared" si="0"/>
        <v>5</v>
      </c>
      <c r="N7" s="40">
        <f t="shared" si="0"/>
        <v>6</v>
      </c>
      <c r="O7" s="40">
        <f t="shared" si="0"/>
        <v>1</v>
      </c>
      <c r="P7" s="40">
        <f t="shared" si="0"/>
        <v>0.5</v>
      </c>
      <c r="Q7" s="40">
        <f t="shared" si="0"/>
        <v>5</v>
      </c>
    </row>
    <row r="8" spans="2:17" x14ac:dyDescent="0.25">
      <c r="B8" t="s">
        <v>13</v>
      </c>
      <c r="C8" s="38">
        <f>Entradas!D17</f>
        <v>8</v>
      </c>
      <c r="D8" s="35" t="s">
        <v>117</v>
      </c>
      <c r="F8" s="36" t="s">
        <v>13</v>
      </c>
      <c r="G8" s="40">
        <f t="shared" si="0"/>
        <v>2</v>
      </c>
      <c r="H8" s="40">
        <f t="shared" si="0"/>
        <v>2</v>
      </c>
      <c r="I8" s="40">
        <f t="shared" si="0"/>
        <v>1</v>
      </c>
      <c r="J8" s="40">
        <f t="shared" si="0"/>
        <v>1</v>
      </c>
      <c r="K8" s="40">
        <f t="shared" si="0"/>
        <v>1</v>
      </c>
      <c r="L8" s="40">
        <f t="shared" si="0"/>
        <v>1</v>
      </c>
      <c r="M8" s="40">
        <f t="shared" si="0"/>
        <v>5</v>
      </c>
      <c r="N8" s="40">
        <f t="shared" si="0"/>
        <v>6</v>
      </c>
      <c r="O8" s="40">
        <f t="shared" si="0"/>
        <v>1</v>
      </c>
      <c r="P8" s="40">
        <f t="shared" si="0"/>
        <v>0.5</v>
      </c>
      <c r="Q8" s="40">
        <f t="shared" si="0"/>
        <v>5</v>
      </c>
    </row>
    <row r="9" spans="2:17" x14ac:dyDescent="0.25">
      <c r="B9" t="s">
        <v>14</v>
      </c>
      <c r="C9" s="38">
        <f>Entradas!D18</f>
        <v>4</v>
      </c>
      <c r="D9" s="35" t="s">
        <v>118</v>
      </c>
      <c r="F9" s="36" t="s">
        <v>14</v>
      </c>
      <c r="G9" s="40">
        <f t="shared" si="0"/>
        <v>0.25</v>
      </c>
      <c r="H9" s="40">
        <f t="shared" si="0"/>
        <v>0.25</v>
      </c>
      <c r="I9" s="40">
        <f t="shared" si="0"/>
        <v>0.2</v>
      </c>
      <c r="J9" s="40">
        <f t="shared" si="0"/>
        <v>0.2</v>
      </c>
      <c r="K9" s="40">
        <f t="shared" si="0"/>
        <v>0.2</v>
      </c>
      <c r="L9" s="40">
        <f t="shared" si="0"/>
        <v>0.2</v>
      </c>
      <c r="M9" s="40">
        <f t="shared" si="0"/>
        <v>1</v>
      </c>
      <c r="N9" s="40">
        <f t="shared" si="0"/>
        <v>2</v>
      </c>
      <c r="O9" s="40">
        <f t="shared" si="0"/>
        <v>0.2</v>
      </c>
      <c r="P9" s="40">
        <f t="shared" si="0"/>
        <v>0.16666666666666666</v>
      </c>
      <c r="Q9" s="40">
        <f t="shared" si="0"/>
        <v>1</v>
      </c>
    </row>
    <row r="10" spans="2:17" x14ac:dyDescent="0.25">
      <c r="B10" t="s">
        <v>15</v>
      </c>
      <c r="C10" s="38">
        <f>Entradas!D19</f>
        <v>3</v>
      </c>
      <c r="D10" s="35" t="s">
        <v>119</v>
      </c>
      <c r="F10" s="36" t="s">
        <v>15</v>
      </c>
      <c r="G10" s="40">
        <f t="shared" si="0"/>
        <v>0.2</v>
      </c>
      <c r="H10" s="40">
        <f t="shared" si="0"/>
        <v>0.2</v>
      </c>
      <c r="I10" s="40">
        <f t="shared" si="0"/>
        <v>0.16666666666666666</v>
      </c>
      <c r="J10" s="40">
        <f t="shared" si="0"/>
        <v>0.16666666666666666</v>
      </c>
      <c r="K10" s="40">
        <f t="shared" si="0"/>
        <v>0.16666666666666666</v>
      </c>
      <c r="L10" s="40">
        <f t="shared" si="0"/>
        <v>0.16666666666666666</v>
      </c>
      <c r="M10" s="40">
        <f t="shared" si="0"/>
        <v>0.5</v>
      </c>
      <c r="N10" s="40">
        <f t="shared" si="0"/>
        <v>1</v>
      </c>
      <c r="O10" s="40">
        <f t="shared" si="0"/>
        <v>0.16666666666666666</v>
      </c>
      <c r="P10" s="40">
        <f t="shared" si="0"/>
        <v>0.14285714285714285</v>
      </c>
      <c r="Q10" s="40">
        <f t="shared" si="0"/>
        <v>0.5</v>
      </c>
    </row>
    <row r="11" spans="2:17" x14ac:dyDescent="0.25">
      <c r="B11" t="s">
        <v>150</v>
      </c>
      <c r="C11" s="38">
        <f>Entradas!D17</f>
        <v>8</v>
      </c>
      <c r="D11" s="35" t="s">
        <v>152</v>
      </c>
      <c r="F11" s="36" t="s">
        <v>150</v>
      </c>
      <c r="G11" s="40">
        <f t="shared" si="0"/>
        <v>2</v>
      </c>
      <c r="H11" s="40">
        <f t="shared" si="0"/>
        <v>2</v>
      </c>
      <c r="I11" s="40">
        <f t="shared" si="0"/>
        <v>1</v>
      </c>
      <c r="J11" s="40">
        <f t="shared" si="0"/>
        <v>1</v>
      </c>
      <c r="K11" s="40">
        <f t="shared" si="0"/>
        <v>1</v>
      </c>
      <c r="L11" s="40">
        <f t="shared" si="0"/>
        <v>1</v>
      </c>
      <c r="M11" s="40">
        <f t="shared" si="0"/>
        <v>5</v>
      </c>
      <c r="N11" s="40">
        <f t="shared" si="0"/>
        <v>6</v>
      </c>
      <c r="O11" s="40">
        <f t="shared" si="0"/>
        <v>1</v>
      </c>
      <c r="P11" s="40">
        <f t="shared" si="0"/>
        <v>0.5</v>
      </c>
      <c r="Q11" s="40">
        <f t="shared" si="0"/>
        <v>5</v>
      </c>
    </row>
    <row r="12" spans="2:17" x14ac:dyDescent="0.25">
      <c r="B12" t="s">
        <v>151</v>
      </c>
      <c r="C12" s="38">
        <f>Entradas!D20</f>
        <v>9</v>
      </c>
      <c r="D12" s="35" t="s">
        <v>153</v>
      </c>
      <c r="F12" s="36" t="s">
        <v>151</v>
      </c>
      <c r="G12" s="40">
        <f t="shared" si="0"/>
        <v>3</v>
      </c>
      <c r="H12" s="40">
        <f t="shared" si="0"/>
        <v>3</v>
      </c>
      <c r="I12" s="40">
        <f t="shared" si="0"/>
        <v>2</v>
      </c>
      <c r="J12" s="40">
        <f t="shared" si="0"/>
        <v>2</v>
      </c>
      <c r="K12" s="40">
        <f t="shared" si="0"/>
        <v>2</v>
      </c>
      <c r="L12" s="40">
        <f t="shared" si="0"/>
        <v>2</v>
      </c>
      <c r="M12" s="40">
        <f t="shared" si="0"/>
        <v>6</v>
      </c>
      <c r="N12" s="40">
        <f t="shared" si="0"/>
        <v>7</v>
      </c>
      <c r="O12" s="40">
        <f t="shared" si="0"/>
        <v>2</v>
      </c>
      <c r="P12" s="40">
        <f t="shared" si="0"/>
        <v>1</v>
      </c>
      <c r="Q12" s="40">
        <f t="shared" si="0"/>
        <v>6</v>
      </c>
    </row>
    <row r="13" spans="2:17" x14ac:dyDescent="0.25">
      <c r="B13" t="s">
        <v>9</v>
      </c>
      <c r="C13" s="38">
        <f>Entradas!D18</f>
        <v>4</v>
      </c>
      <c r="D13" s="35" t="s">
        <v>120</v>
      </c>
      <c r="F13" s="36" t="s">
        <v>9</v>
      </c>
      <c r="G13" s="40">
        <f t="shared" si="0"/>
        <v>0.25</v>
      </c>
      <c r="H13" s="40">
        <f t="shared" si="0"/>
        <v>0.25</v>
      </c>
      <c r="I13" s="40">
        <f t="shared" si="0"/>
        <v>0.2</v>
      </c>
      <c r="J13" s="40">
        <f t="shared" si="0"/>
        <v>0.2</v>
      </c>
      <c r="K13" s="40">
        <f t="shared" si="0"/>
        <v>0.2</v>
      </c>
      <c r="L13" s="40">
        <f t="shared" si="0"/>
        <v>0.2</v>
      </c>
      <c r="M13" s="40">
        <f t="shared" si="0"/>
        <v>1</v>
      </c>
      <c r="N13" s="40">
        <f t="shared" si="0"/>
        <v>2</v>
      </c>
      <c r="O13" s="40">
        <f t="shared" si="0"/>
        <v>0.2</v>
      </c>
      <c r="P13" s="40">
        <f t="shared" si="0"/>
        <v>0.16666666666666666</v>
      </c>
      <c r="Q13" s="40">
        <f t="shared" si="0"/>
        <v>1</v>
      </c>
    </row>
    <row r="15" spans="2:17" x14ac:dyDescent="0.25">
      <c r="C15" s="3" t="s">
        <v>113</v>
      </c>
      <c r="D15" s="3" t="s">
        <v>103</v>
      </c>
      <c r="G15" s="34">
        <f>VLOOKUP(G$2,$B$3:$C$13,2,FALSE)</f>
        <v>7</v>
      </c>
    </row>
    <row r="16" spans="2:17" x14ac:dyDescent="0.25">
      <c r="C16" s="91">
        <v>1</v>
      </c>
      <c r="D16" s="91" t="s">
        <v>121</v>
      </c>
      <c r="G16" s="34">
        <f>VLOOKUP($F3,$B$3:$C$13,2,FALSE)</f>
        <v>7</v>
      </c>
    </row>
    <row r="17" spans="2:7" x14ac:dyDescent="0.25">
      <c r="C17" s="91">
        <v>3</v>
      </c>
      <c r="D17" s="33" t="s">
        <v>122</v>
      </c>
      <c r="G17" s="34">
        <f>VLOOKUP((G15-G16),C23:D40,2,FALSE)</f>
        <v>1</v>
      </c>
    </row>
    <row r="18" spans="2:7" x14ac:dyDescent="0.25">
      <c r="C18" s="91">
        <v>5</v>
      </c>
      <c r="D18" s="91" t="s">
        <v>123</v>
      </c>
      <c r="G18" s="34">
        <f>VLOOKUP(((VLOOKUP(G$2,$B$3:$C$13,2,FALSE))-(VLOOKUP($F3,$B$3:$C$13,2,FALSE))),$C$23:$D$40,2,FALSE)</f>
        <v>1</v>
      </c>
    </row>
    <row r="19" spans="2:7" x14ac:dyDescent="0.25">
      <c r="C19" s="91">
        <v>7</v>
      </c>
      <c r="D19" s="91" t="s">
        <v>124</v>
      </c>
    </row>
    <row r="20" spans="2:7" x14ac:dyDescent="0.25">
      <c r="C20" s="91">
        <v>9</v>
      </c>
      <c r="D20" s="91" t="s">
        <v>125</v>
      </c>
    </row>
    <row r="22" spans="2:7" ht="15.75" x14ac:dyDescent="0.25">
      <c r="B22" s="3" t="s">
        <v>107</v>
      </c>
      <c r="C22" s="39" t="s">
        <v>127</v>
      </c>
      <c r="D22" s="3" t="s">
        <v>102</v>
      </c>
    </row>
    <row r="23" spans="2:7" x14ac:dyDescent="0.25">
      <c r="B23" s="37" t="s">
        <v>108</v>
      </c>
      <c r="C23" s="35">
        <f>4-4</f>
        <v>0</v>
      </c>
      <c r="D23" s="91">
        <f>1/D32</f>
        <v>1</v>
      </c>
    </row>
    <row r="24" spans="2:7" x14ac:dyDescent="0.25">
      <c r="B24" s="91" t="s">
        <v>126</v>
      </c>
      <c r="C24" s="31">
        <f>4-3</f>
        <v>1</v>
      </c>
      <c r="D24" s="91">
        <f>1/D33</f>
        <v>0.5</v>
      </c>
    </row>
    <row r="25" spans="2:7" x14ac:dyDescent="0.25">
      <c r="B25" s="91" t="s">
        <v>109</v>
      </c>
      <c r="C25" s="31">
        <f>4-2</f>
        <v>2</v>
      </c>
      <c r="D25" s="91">
        <f t="shared" ref="D25:D26" si="1">1/D34</f>
        <v>0.33333333333333331</v>
      </c>
    </row>
    <row r="26" spans="2:7" x14ac:dyDescent="0.25">
      <c r="B26" s="91" t="s">
        <v>110</v>
      </c>
      <c r="C26" s="31">
        <f>5-2</f>
        <v>3</v>
      </c>
      <c r="D26" s="91">
        <f t="shared" si="1"/>
        <v>0.25</v>
      </c>
    </row>
    <row r="27" spans="2:7" x14ac:dyDescent="0.25">
      <c r="B27" s="91" t="s">
        <v>111</v>
      </c>
      <c r="C27" s="31">
        <f>5-1</f>
        <v>4</v>
      </c>
      <c r="D27" s="91">
        <f>1/D36</f>
        <v>0.2</v>
      </c>
    </row>
    <row r="28" spans="2:7" x14ac:dyDescent="0.25">
      <c r="B28" s="91" t="s">
        <v>234</v>
      </c>
      <c r="C28" s="31">
        <v>5</v>
      </c>
      <c r="D28" s="91">
        <f t="shared" ref="D28:D31" si="2">1/D37</f>
        <v>0.16666666666666666</v>
      </c>
    </row>
    <row r="29" spans="2:7" x14ac:dyDescent="0.25">
      <c r="B29" s="91" t="s">
        <v>235</v>
      </c>
      <c r="C29" s="31">
        <v>6</v>
      </c>
      <c r="D29" s="91">
        <f t="shared" si="2"/>
        <v>0.14285714285714285</v>
      </c>
    </row>
    <row r="30" spans="2:7" x14ac:dyDescent="0.25">
      <c r="B30" s="91" t="s">
        <v>236</v>
      </c>
      <c r="C30" s="31">
        <v>7</v>
      </c>
      <c r="D30" s="91">
        <f t="shared" si="2"/>
        <v>0.125</v>
      </c>
    </row>
    <row r="31" spans="2:7" x14ac:dyDescent="0.25">
      <c r="B31" s="91" t="s">
        <v>237</v>
      </c>
      <c r="C31" s="31">
        <v>8</v>
      </c>
      <c r="D31" s="91">
        <f t="shared" si="2"/>
        <v>0.1111111111111111</v>
      </c>
    </row>
    <row r="32" spans="2:7" x14ac:dyDescent="0.25">
      <c r="B32" s="37" t="s">
        <v>108</v>
      </c>
      <c r="C32" s="31">
        <f>4-4</f>
        <v>0</v>
      </c>
      <c r="D32" s="91">
        <v>1</v>
      </c>
    </row>
    <row r="33" spans="2:4" x14ac:dyDescent="0.25">
      <c r="B33" s="91" t="s">
        <v>126</v>
      </c>
      <c r="C33" s="31">
        <f>3-4</f>
        <v>-1</v>
      </c>
      <c r="D33" s="91">
        <v>2</v>
      </c>
    </row>
    <row r="34" spans="2:4" x14ac:dyDescent="0.25">
      <c r="B34" s="91" t="s">
        <v>109</v>
      </c>
      <c r="C34" s="31">
        <f>2-4</f>
        <v>-2</v>
      </c>
      <c r="D34" s="91">
        <v>3</v>
      </c>
    </row>
    <row r="35" spans="2:4" x14ac:dyDescent="0.25">
      <c r="B35" s="91" t="s">
        <v>110</v>
      </c>
      <c r="C35" s="31">
        <f>2-5</f>
        <v>-3</v>
      </c>
      <c r="D35" s="91">
        <v>4</v>
      </c>
    </row>
    <row r="36" spans="2:4" x14ac:dyDescent="0.25">
      <c r="B36" s="91" t="s">
        <v>111</v>
      </c>
      <c r="C36" s="31">
        <v>-4</v>
      </c>
      <c r="D36" s="91">
        <v>5</v>
      </c>
    </row>
    <row r="37" spans="2:4" x14ac:dyDescent="0.25">
      <c r="B37" s="91" t="s">
        <v>234</v>
      </c>
      <c r="C37" s="31">
        <v>-5</v>
      </c>
      <c r="D37" s="91">
        <v>6</v>
      </c>
    </row>
    <row r="38" spans="2:4" x14ac:dyDescent="0.25">
      <c r="B38" s="91" t="s">
        <v>235</v>
      </c>
      <c r="C38" s="31">
        <v>-6</v>
      </c>
      <c r="D38" s="91">
        <v>7</v>
      </c>
    </row>
    <row r="39" spans="2:4" x14ac:dyDescent="0.25">
      <c r="B39" s="91" t="s">
        <v>236</v>
      </c>
      <c r="C39" s="31">
        <v>-7</v>
      </c>
      <c r="D39" s="91">
        <v>8</v>
      </c>
    </row>
    <row r="40" spans="2:4" x14ac:dyDescent="0.25">
      <c r="B40" s="91" t="s">
        <v>237</v>
      </c>
      <c r="C40" s="31">
        <v>-8</v>
      </c>
      <c r="D40" s="91">
        <v>9</v>
      </c>
    </row>
    <row r="42" spans="2:4" x14ac:dyDescent="0.25">
      <c r="B42" s="101" t="s">
        <v>102</v>
      </c>
      <c r="C42" s="31" t="s">
        <v>107</v>
      </c>
      <c r="D42" s="101" t="s">
        <v>103</v>
      </c>
    </row>
    <row r="43" spans="2:4" x14ac:dyDescent="0.25">
      <c r="B43" s="99">
        <v>1</v>
      </c>
      <c r="C43" s="99" t="s">
        <v>225</v>
      </c>
      <c r="D43" s="99" t="s">
        <v>97</v>
      </c>
    </row>
    <row r="44" spans="2:4" x14ac:dyDescent="0.25">
      <c r="B44" s="99">
        <v>2</v>
      </c>
      <c r="C44" s="99" t="s">
        <v>226</v>
      </c>
      <c r="D44" s="31" t="s">
        <v>238</v>
      </c>
    </row>
    <row r="45" spans="2:4" x14ac:dyDescent="0.25">
      <c r="B45" s="99">
        <v>3</v>
      </c>
      <c r="C45" s="99" t="s">
        <v>227</v>
      </c>
      <c r="D45" s="100" t="s">
        <v>98</v>
      </c>
    </row>
    <row r="46" spans="2:4" x14ac:dyDescent="0.25">
      <c r="B46" s="99">
        <v>4</v>
      </c>
      <c r="C46" s="99" t="s">
        <v>228</v>
      </c>
      <c r="D46" s="31" t="s">
        <v>238</v>
      </c>
    </row>
    <row r="47" spans="2:4" x14ac:dyDescent="0.25">
      <c r="B47" s="99">
        <v>5</v>
      </c>
      <c r="C47" s="99" t="s">
        <v>229</v>
      </c>
      <c r="D47" s="99" t="s">
        <v>99</v>
      </c>
    </row>
    <row r="48" spans="2:4" x14ac:dyDescent="0.25">
      <c r="B48" s="99">
        <v>6</v>
      </c>
      <c r="C48" s="99" t="s">
        <v>230</v>
      </c>
      <c r="D48" s="31" t="s">
        <v>238</v>
      </c>
    </row>
    <row r="49" spans="2:4" x14ac:dyDescent="0.25">
      <c r="B49" s="99">
        <v>7</v>
      </c>
      <c r="C49" s="99" t="s">
        <v>231</v>
      </c>
      <c r="D49" s="99" t="s">
        <v>100</v>
      </c>
    </row>
    <row r="50" spans="2:4" x14ac:dyDescent="0.25">
      <c r="B50" s="99">
        <v>8</v>
      </c>
      <c r="C50" s="99" t="s">
        <v>232</v>
      </c>
      <c r="D50" s="31" t="s">
        <v>238</v>
      </c>
    </row>
    <row r="51" spans="2:4" x14ac:dyDescent="0.25">
      <c r="B51" s="99">
        <v>9</v>
      </c>
      <c r="C51" s="99" t="s">
        <v>233</v>
      </c>
      <c r="D51" s="99" t="s">
        <v>101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rgb="FF00B0F0"/>
  </sheetPr>
  <dimension ref="A2:S121"/>
  <sheetViews>
    <sheetView topLeftCell="A61" workbookViewId="0">
      <selection activeCell="L115" sqref="L115"/>
    </sheetView>
  </sheetViews>
  <sheetFormatPr defaultRowHeight="15" x14ac:dyDescent="0.25"/>
  <cols>
    <col min="2" max="13" width="5.42578125" customWidth="1"/>
    <col min="14" max="14" width="4.7109375" customWidth="1"/>
  </cols>
  <sheetData>
    <row r="2" spans="2:19" x14ac:dyDescent="0.25">
      <c r="B2" s="36">
        <f>'AHP Matriz'!F2</f>
        <v>0</v>
      </c>
      <c r="C2" s="36" t="str">
        <f>'AHP Matriz'!G2</f>
        <v>Vasa</v>
      </c>
      <c r="D2" s="36" t="str">
        <f>'AHP Matriz'!H2</f>
        <v>Vasr</v>
      </c>
      <c r="E2" s="36" t="str">
        <f>'AHP Matriz'!I2</f>
        <v>SF36</v>
      </c>
      <c r="F2" s="36" t="str">
        <f>'AHP Matriz'!J2</f>
        <v>SF M</v>
      </c>
      <c r="G2" s="36" t="str">
        <f>'AHP Matriz'!K2</f>
        <v>SF F</v>
      </c>
      <c r="H2" s="36" t="str">
        <f>'AHP Matriz'!L2</f>
        <v>ODI</v>
      </c>
      <c r="I2" s="36" t="str">
        <f>'AHP Matriz'!M2</f>
        <v>HAD D</v>
      </c>
      <c r="J2" s="36" t="str">
        <f>'AHP Matriz'!N2</f>
        <v>HAD A</v>
      </c>
      <c r="K2" s="36" t="str">
        <f>'AHP Matriz'!O2</f>
        <v>Prolo</v>
      </c>
      <c r="L2" s="36" t="str">
        <f>'AHP Matriz'!P2</f>
        <v>Sats</v>
      </c>
      <c r="M2" s="36" t="str">
        <f>'AHP Matriz'!Q2</f>
        <v>BDI</v>
      </c>
      <c r="O2" s="46" t="s">
        <v>137</v>
      </c>
      <c r="P2" s="52" t="s">
        <v>133</v>
      </c>
      <c r="Q2" s="52" t="s">
        <v>135</v>
      </c>
      <c r="R2" s="52" t="s">
        <v>134</v>
      </c>
      <c r="S2" s="53" t="s">
        <v>136</v>
      </c>
    </row>
    <row r="3" spans="2:19" x14ac:dyDescent="0.25">
      <c r="B3" s="36" t="str">
        <f>'AHP Matriz'!F3</f>
        <v>Vasa</v>
      </c>
      <c r="C3" s="36">
        <f>'AHP Matriz'!G3</f>
        <v>1</v>
      </c>
      <c r="D3" s="36">
        <f>'AHP Matriz'!H3</f>
        <v>1</v>
      </c>
      <c r="E3" s="36">
        <f>'AHP Matriz'!I3</f>
        <v>0.5</v>
      </c>
      <c r="F3" s="36">
        <f>'AHP Matriz'!J3</f>
        <v>0.5</v>
      </c>
      <c r="G3" s="36">
        <f>'AHP Matriz'!K3</f>
        <v>0.5</v>
      </c>
      <c r="H3" s="36">
        <f>'AHP Matriz'!L3</f>
        <v>0.5</v>
      </c>
      <c r="I3" s="36">
        <f>'AHP Matriz'!M3</f>
        <v>4</v>
      </c>
      <c r="J3" s="36">
        <f>'AHP Matriz'!N3</f>
        <v>5</v>
      </c>
      <c r="K3" s="36">
        <f>'AHP Matriz'!O3</f>
        <v>0.5</v>
      </c>
      <c r="L3" s="36">
        <f>'AHP Matriz'!P3</f>
        <v>0.33333333333333331</v>
      </c>
      <c r="M3" s="36">
        <f>'AHP Matriz'!Q3</f>
        <v>4</v>
      </c>
      <c r="O3" s="44">
        <v>1</v>
      </c>
      <c r="P3" s="45">
        <v>1</v>
      </c>
      <c r="Q3" s="47">
        <f t="array" ref="Q3:Q13">MMULT($C$3:$M$13,P3:P13)</f>
        <v>17.833333333333336</v>
      </c>
      <c r="R3" s="47">
        <f>LARGE(Q3:Q13,1)</f>
        <v>36</v>
      </c>
      <c r="S3" s="48">
        <f>Q3/R3</f>
        <v>0.49537037037037046</v>
      </c>
    </row>
    <row r="4" spans="2:19" x14ac:dyDescent="0.25">
      <c r="B4" s="36" t="str">
        <f>'AHP Matriz'!F4</f>
        <v>Vasr</v>
      </c>
      <c r="C4" s="36">
        <f>'AHP Matriz'!G4</f>
        <v>1</v>
      </c>
      <c r="D4" s="36">
        <f>'AHP Matriz'!H4</f>
        <v>1</v>
      </c>
      <c r="E4" s="36">
        <f>'AHP Matriz'!I4</f>
        <v>0.5</v>
      </c>
      <c r="F4" s="36">
        <f>'AHP Matriz'!J4</f>
        <v>0.5</v>
      </c>
      <c r="G4" s="36">
        <f>'AHP Matriz'!K4</f>
        <v>0.5</v>
      </c>
      <c r="H4" s="36">
        <f>'AHP Matriz'!L4</f>
        <v>0.5</v>
      </c>
      <c r="I4" s="36">
        <f>'AHP Matriz'!M4</f>
        <v>4</v>
      </c>
      <c r="J4" s="36">
        <f>'AHP Matriz'!N4</f>
        <v>5</v>
      </c>
      <c r="K4" s="36">
        <f>'AHP Matriz'!O4</f>
        <v>0.5</v>
      </c>
      <c r="L4" s="36">
        <f>'AHP Matriz'!P4</f>
        <v>0.33333333333333331</v>
      </c>
      <c r="M4" s="36">
        <f>'AHP Matriz'!Q4</f>
        <v>4</v>
      </c>
      <c r="O4" s="54"/>
      <c r="P4" s="45">
        <v>1</v>
      </c>
      <c r="Q4" s="47">
        <v>17.833333333333336</v>
      </c>
      <c r="R4" s="47">
        <f>R3</f>
        <v>36</v>
      </c>
      <c r="S4" s="48">
        <f t="shared" ref="S4:S13" si="0">Q4/R4</f>
        <v>0.49537037037037046</v>
      </c>
    </row>
    <row r="5" spans="2:19" x14ac:dyDescent="0.25">
      <c r="B5" s="36" t="str">
        <f>'AHP Matriz'!F5</f>
        <v>SF36</v>
      </c>
      <c r="C5" s="36">
        <f>'AHP Matriz'!G5</f>
        <v>2</v>
      </c>
      <c r="D5" s="36">
        <f>'AHP Matriz'!H5</f>
        <v>2</v>
      </c>
      <c r="E5" s="36">
        <f>'AHP Matriz'!I5</f>
        <v>1</v>
      </c>
      <c r="F5" s="36">
        <f>'AHP Matriz'!J5</f>
        <v>1</v>
      </c>
      <c r="G5" s="36">
        <f>'AHP Matriz'!K5</f>
        <v>1</v>
      </c>
      <c r="H5" s="36">
        <f>'AHP Matriz'!L5</f>
        <v>1</v>
      </c>
      <c r="I5" s="36">
        <f>'AHP Matriz'!M5</f>
        <v>5</v>
      </c>
      <c r="J5" s="36">
        <f>'AHP Matriz'!N5</f>
        <v>6</v>
      </c>
      <c r="K5" s="36">
        <f>'AHP Matriz'!O5</f>
        <v>1</v>
      </c>
      <c r="L5" s="36">
        <f>'AHP Matriz'!P5</f>
        <v>0.5</v>
      </c>
      <c r="M5" s="36">
        <f>'AHP Matriz'!Q5</f>
        <v>5</v>
      </c>
      <c r="O5" s="54"/>
      <c r="P5" s="45">
        <v>1</v>
      </c>
      <c r="Q5" s="47">
        <v>25.5</v>
      </c>
      <c r="R5" s="47">
        <f>R4</f>
        <v>36</v>
      </c>
      <c r="S5" s="48">
        <f t="shared" si="0"/>
        <v>0.70833333333333337</v>
      </c>
    </row>
    <row r="6" spans="2:19" x14ac:dyDescent="0.25">
      <c r="B6" s="36" t="str">
        <f>'AHP Matriz'!F6</f>
        <v>SF M</v>
      </c>
      <c r="C6" s="36">
        <f>'AHP Matriz'!G6</f>
        <v>2</v>
      </c>
      <c r="D6" s="36">
        <f>'AHP Matriz'!H6</f>
        <v>2</v>
      </c>
      <c r="E6" s="36">
        <f>'AHP Matriz'!I6</f>
        <v>1</v>
      </c>
      <c r="F6" s="36">
        <f>'AHP Matriz'!J6</f>
        <v>1</v>
      </c>
      <c r="G6" s="36">
        <f>'AHP Matriz'!K6</f>
        <v>1</v>
      </c>
      <c r="H6" s="36">
        <f>'AHP Matriz'!L6</f>
        <v>1</v>
      </c>
      <c r="I6" s="36">
        <f>'AHP Matriz'!M6</f>
        <v>5</v>
      </c>
      <c r="J6" s="36">
        <f>'AHP Matriz'!N6</f>
        <v>6</v>
      </c>
      <c r="K6" s="36">
        <f>'AHP Matriz'!O6</f>
        <v>1</v>
      </c>
      <c r="L6" s="36">
        <f>'AHP Matriz'!P6</f>
        <v>0.5</v>
      </c>
      <c r="M6" s="36">
        <f>'AHP Matriz'!Q6</f>
        <v>5</v>
      </c>
      <c r="O6" s="54"/>
      <c r="P6" s="45">
        <v>1</v>
      </c>
      <c r="Q6" s="47">
        <v>25.5</v>
      </c>
      <c r="R6" s="47">
        <f t="shared" ref="R6:R13" si="1">R5</f>
        <v>36</v>
      </c>
      <c r="S6" s="48">
        <f t="shared" si="0"/>
        <v>0.70833333333333337</v>
      </c>
    </row>
    <row r="7" spans="2:19" x14ac:dyDescent="0.25">
      <c r="B7" s="36" t="str">
        <f>'AHP Matriz'!F7</f>
        <v>SF F</v>
      </c>
      <c r="C7" s="36">
        <f>'AHP Matriz'!G7</f>
        <v>2</v>
      </c>
      <c r="D7" s="36">
        <f>'AHP Matriz'!H7</f>
        <v>2</v>
      </c>
      <c r="E7" s="36">
        <f>'AHP Matriz'!I7</f>
        <v>1</v>
      </c>
      <c r="F7" s="36">
        <f>'AHP Matriz'!J7</f>
        <v>1</v>
      </c>
      <c r="G7" s="36">
        <f>'AHP Matriz'!K7</f>
        <v>1</v>
      </c>
      <c r="H7" s="36">
        <f>'AHP Matriz'!L7</f>
        <v>1</v>
      </c>
      <c r="I7" s="36">
        <f>'AHP Matriz'!M7</f>
        <v>5</v>
      </c>
      <c r="J7" s="36">
        <f>'AHP Matriz'!N7</f>
        <v>6</v>
      </c>
      <c r="K7" s="36">
        <f>'AHP Matriz'!O7</f>
        <v>1</v>
      </c>
      <c r="L7" s="36">
        <f>'AHP Matriz'!P7</f>
        <v>0.5</v>
      </c>
      <c r="M7" s="36">
        <f>'AHP Matriz'!Q7</f>
        <v>5</v>
      </c>
      <c r="O7" s="54"/>
      <c r="P7" s="45">
        <v>1</v>
      </c>
      <c r="Q7" s="47">
        <v>25.5</v>
      </c>
      <c r="R7" s="47">
        <f t="shared" si="1"/>
        <v>36</v>
      </c>
      <c r="S7" s="48">
        <f t="shared" si="0"/>
        <v>0.70833333333333337</v>
      </c>
    </row>
    <row r="8" spans="2:19" x14ac:dyDescent="0.25">
      <c r="B8" s="36" t="str">
        <f>'AHP Matriz'!F8</f>
        <v>ODI</v>
      </c>
      <c r="C8" s="36">
        <f>'AHP Matriz'!G8</f>
        <v>2</v>
      </c>
      <c r="D8" s="36">
        <f>'AHP Matriz'!H8</f>
        <v>2</v>
      </c>
      <c r="E8" s="36">
        <f>'AHP Matriz'!I8</f>
        <v>1</v>
      </c>
      <c r="F8" s="36">
        <f>'AHP Matriz'!J8</f>
        <v>1</v>
      </c>
      <c r="G8" s="36">
        <f>'AHP Matriz'!K8</f>
        <v>1</v>
      </c>
      <c r="H8" s="36">
        <f>'AHP Matriz'!L8</f>
        <v>1</v>
      </c>
      <c r="I8" s="36">
        <f>'AHP Matriz'!M8</f>
        <v>5</v>
      </c>
      <c r="J8" s="36">
        <f>'AHP Matriz'!N8</f>
        <v>6</v>
      </c>
      <c r="K8" s="36">
        <f>'AHP Matriz'!O8</f>
        <v>1</v>
      </c>
      <c r="L8" s="36">
        <f>'AHP Matriz'!P8</f>
        <v>0.5</v>
      </c>
      <c r="M8" s="36">
        <f>'AHP Matriz'!Q8</f>
        <v>5</v>
      </c>
      <c r="O8" s="54"/>
      <c r="P8" s="45">
        <v>1</v>
      </c>
      <c r="Q8" s="47">
        <v>25.5</v>
      </c>
      <c r="R8" s="47">
        <f t="shared" si="1"/>
        <v>36</v>
      </c>
      <c r="S8" s="48">
        <f t="shared" si="0"/>
        <v>0.70833333333333337</v>
      </c>
    </row>
    <row r="9" spans="2:19" x14ac:dyDescent="0.25">
      <c r="B9" s="36" t="str">
        <f>'AHP Matriz'!F9</f>
        <v>HAD D</v>
      </c>
      <c r="C9" s="36">
        <f>'AHP Matriz'!G9</f>
        <v>0.25</v>
      </c>
      <c r="D9" s="36">
        <f>'AHP Matriz'!H9</f>
        <v>0.25</v>
      </c>
      <c r="E9" s="36">
        <f>'AHP Matriz'!I9</f>
        <v>0.2</v>
      </c>
      <c r="F9" s="36">
        <f>'AHP Matriz'!J9</f>
        <v>0.2</v>
      </c>
      <c r="G9" s="36">
        <f>'AHP Matriz'!K9</f>
        <v>0.2</v>
      </c>
      <c r="H9" s="36">
        <f>'AHP Matriz'!L9</f>
        <v>0.2</v>
      </c>
      <c r="I9" s="36">
        <f>'AHP Matriz'!M9</f>
        <v>1</v>
      </c>
      <c r="J9" s="36">
        <f>'AHP Matriz'!N9</f>
        <v>2</v>
      </c>
      <c r="K9" s="36">
        <f>'AHP Matriz'!O9</f>
        <v>0.2</v>
      </c>
      <c r="L9" s="36">
        <f>'AHP Matriz'!P9</f>
        <v>0.16666666666666666</v>
      </c>
      <c r="M9" s="36">
        <f>'AHP Matriz'!Q9</f>
        <v>1</v>
      </c>
      <c r="O9" s="54"/>
      <c r="P9" s="45">
        <v>1</v>
      </c>
      <c r="Q9" s="47">
        <v>5.666666666666667</v>
      </c>
      <c r="R9" s="47">
        <f t="shared" si="1"/>
        <v>36</v>
      </c>
      <c r="S9" s="48">
        <f t="shared" si="0"/>
        <v>0.15740740740740741</v>
      </c>
    </row>
    <row r="10" spans="2:19" x14ac:dyDescent="0.25">
      <c r="B10" s="36" t="str">
        <f>'AHP Matriz'!F10</f>
        <v>HAD A</v>
      </c>
      <c r="C10" s="36">
        <f>'AHP Matriz'!G10</f>
        <v>0.2</v>
      </c>
      <c r="D10" s="36">
        <f>'AHP Matriz'!H10</f>
        <v>0.2</v>
      </c>
      <c r="E10" s="36">
        <f>'AHP Matriz'!I10</f>
        <v>0.16666666666666666</v>
      </c>
      <c r="F10" s="36">
        <f>'AHP Matriz'!J10</f>
        <v>0.16666666666666666</v>
      </c>
      <c r="G10" s="36">
        <f>'AHP Matriz'!K10</f>
        <v>0.16666666666666666</v>
      </c>
      <c r="H10" s="36">
        <f>'AHP Matriz'!L10</f>
        <v>0.16666666666666666</v>
      </c>
      <c r="I10" s="36">
        <f>'AHP Matriz'!M10</f>
        <v>0.5</v>
      </c>
      <c r="J10" s="36">
        <f>'AHP Matriz'!N10</f>
        <v>1</v>
      </c>
      <c r="K10" s="36">
        <f>'AHP Matriz'!O10</f>
        <v>0.16666666666666666</v>
      </c>
      <c r="L10" s="36">
        <f>'AHP Matriz'!P10</f>
        <v>0.14285714285714285</v>
      </c>
      <c r="M10" s="36">
        <f>'AHP Matriz'!Q10</f>
        <v>0.5</v>
      </c>
      <c r="O10" s="54"/>
      <c r="P10" s="45">
        <v>1</v>
      </c>
      <c r="Q10" s="47">
        <v>3.3761904761904757</v>
      </c>
      <c r="R10" s="47">
        <f t="shared" si="1"/>
        <v>36</v>
      </c>
      <c r="S10" s="48">
        <f t="shared" si="0"/>
        <v>9.3783068783068774E-2</v>
      </c>
    </row>
    <row r="11" spans="2:19" x14ac:dyDescent="0.25">
      <c r="B11" s="36" t="str">
        <f>'AHP Matriz'!F11</f>
        <v>Prolo</v>
      </c>
      <c r="C11" s="36">
        <f>'AHP Matriz'!G11</f>
        <v>2</v>
      </c>
      <c r="D11" s="36">
        <f>'AHP Matriz'!H11</f>
        <v>2</v>
      </c>
      <c r="E11" s="36">
        <f>'AHP Matriz'!I11</f>
        <v>1</v>
      </c>
      <c r="F11" s="36">
        <f>'AHP Matriz'!J11</f>
        <v>1</v>
      </c>
      <c r="G11" s="36">
        <f>'AHP Matriz'!K11</f>
        <v>1</v>
      </c>
      <c r="H11" s="36">
        <f>'AHP Matriz'!L11</f>
        <v>1</v>
      </c>
      <c r="I11" s="36">
        <f>'AHP Matriz'!M11</f>
        <v>5</v>
      </c>
      <c r="J11" s="36">
        <f>'AHP Matriz'!N11</f>
        <v>6</v>
      </c>
      <c r="K11" s="36">
        <f>'AHP Matriz'!O11</f>
        <v>1</v>
      </c>
      <c r="L11" s="36">
        <f>'AHP Matriz'!P11</f>
        <v>0.5</v>
      </c>
      <c r="M11" s="36">
        <f>'AHP Matriz'!Q11</f>
        <v>5</v>
      </c>
      <c r="O11" s="54"/>
      <c r="P11" s="45">
        <v>1</v>
      </c>
      <c r="Q11" s="47">
        <v>25.5</v>
      </c>
      <c r="R11" s="47">
        <f t="shared" si="1"/>
        <v>36</v>
      </c>
      <c r="S11" s="48">
        <f t="shared" si="0"/>
        <v>0.70833333333333337</v>
      </c>
    </row>
    <row r="12" spans="2:19" x14ac:dyDescent="0.25">
      <c r="B12" s="36" t="str">
        <f>'AHP Matriz'!F12</f>
        <v>Sats</v>
      </c>
      <c r="C12" s="36">
        <f>'AHP Matriz'!G12</f>
        <v>3</v>
      </c>
      <c r="D12" s="36">
        <f>'AHP Matriz'!H12</f>
        <v>3</v>
      </c>
      <c r="E12" s="36">
        <f>'AHP Matriz'!I12</f>
        <v>2</v>
      </c>
      <c r="F12" s="36">
        <f>'AHP Matriz'!J12</f>
        <v>2</v>
      </c>
      <c r="G12" s="36">
        <f>'AHP Matriz'!K12</f>
        <v>2</v>
      </c>
      <c r="H12" s="36">
        <f>'AHP Matriz'!L12</f>
        <v>2</v>
      </c>
      <c r="I12" s="36">
        <f>'AHP Matriz'!M12</f>
        <v>6</v>
      </c>
      <c r="J12" s="36">
        <f>'AHP Matriz'!N12</f>
        <v>7</v>
      </c>
      <c r="K12" s="36">
        <f>'AHP Matriz'!O12</f>
        <v>2</v>
      </c>
      <c r="L12" s="36">
        <f>'AHP Matriz'!P12</f>
        <v>1</v>
      </c>
      <c r="M12" s="36">
        <f>'AHP Matriz'!Q12</f>
        <v>6</v>
      </c>
      <c r="O12" s="54"/>
      <c r="P12" s="45">
        <v>1</v>
      </c>
      <c r="Q12" s="47">
        <v>36</v>
      </c>
      <c r="R12" s="47">
        <f t="shared" si="1"/>
        <v>36</v>
      </c>
      <c r="S12" s="48">
        <f t="shared" si="0"/>
        <v>1</v>
      </c>
    </row>
    <row r="13" spans="2:19" x14ac:dyDescent="0.25">
      <c r="B13" s="36" t="str">
        <f>'AHP Matriz'!F13</f>
        <v>BDI</v>
      </c>
      <c r="C13" s="36">
        <f>'AHP Matriz'!G13</f>
        <v>0.25</v>
      </c>
      <c r="D13" s="36">
        <f>'AHP Matriz'!H13</f>
        <v>0.25</v>
      </c>
      <c r="E13" s="36">
        <f>'AHP Matriz'!I13</f>
        <v>0.2</v>
      </c>
      <c r="F13" s="36">
        <f>'AHP Matriz'!J13</f>
        <v>0.2</v>
      </c>
      <c r="G13" s="36">
        <f>'AHP Matriz'!K13</f>
        <v>0.2</v>
      </c>
      <c r="H13" s="36">
        <f>'AHP Matriz'!L13</f>
        <v>0.2</v>
      </c>
      <c r="I13" s="36">
        <f>'AHP Matriz'!M13</f>
        <v>1</v>
      </c>
      <c r="J13" s="36">
        <f>'AHP Matriz'!N13</f>
        <v>2</v>
      </c>
      <c r="K13" s="36">
        <f>'AHP Matriz'!O13</f>
        <v>0.2</v>
      </c>
      <c r="L13" s="36">
        <f>'AHP Matriz'!P13</f>
        <v>0.16666666666666666</v>
      </c>
      <c r="M13" s="36">
        <f>'AHP Matriz'!Q13</f>
        <v>1</v>
      </c>
      <c r="O13" s="54"/>
      <c r="P13" s="45">
        <v>1</v>
      </c>
      <c r="Q13" s="47">
        <v>5.666666666666667</v>
      </c>
      <c r="R13" s="47">
        <f t="shared" si="1"/>
        <v>36</v>
      </c>
      <c r="S13" s="48">
        <f t="shared" si="0"/>
        <v>0.15740740740740741</v>
      </c>
    </row>
    <row r="14" spans="2:19" ht="14.25" customHeight="1" x14ac:dyDescent="0.25">
      <c r="O14" s="46" t="s">
        <v>137</v>
      </c>
      <c r="P14" s="52" t="s">
        <v>133</v>
      </c>
      <c r="Q14" s="52" t="s">
        <v>135</v>
      </c>
      <c r="R14" s="52" t="s">
        <v>134</v>
      </c>
      <c r="S14" s="53" t="s">
        <v>136</v>
      </c>
    </row>
    <row r="15" spans="2:19" ht="14.25" customHeight="1" x14ac:dyDescent="0.25">
      <c r="B15" s="57" t="s">
        <v>138</v>
      </c>
      <c r="C15" s="58">
        <f>R114</f>
        <v>11.159924361831226</v>
      </c>
      <c r="O15" s="44">
        <f>O3+1</f>
        <v>2</v>
      </c>
      <c r="P15" s="45">
        <f t="shared" ref="P15:P25" si="2">S3</f>
        <v>0.49537037037037046</v>
      </c>
      <c r="Q15" s="47">
        <f t="array" ref="Q15:Q25">MMULT($C$3:$M$13,P15:P25)</f>
        <v>4.8230820105820102</v>
      </c>
      <c r="R15" s="47">
        <f>LARGE(Q15:Q25,1)</f>
        <v>13.600925925925926</v>
      </c>
      <c r="S15" s="48">
        <f>Q15/R15</f>
        <v>0.35461424000466818</v>
      </c>
    </row>
    <row r="16" spans="2:19" x14ac:dyDescent="0.25">
      <c r="B16" s="51" t="s">
        <v>139</v>
      </c>
      <c r="C16" s="45">
        <v>11</v>
      </c>
      <c r="O16" s="54"/>
      <c r="P16" s="45">
        <f t="shared" si="2"/>
        <v>0.49537037037037046</v>
      </c>
      <c r="Q16" s="47">
        <v>4.8230820105820102</v>
      </c>
      <c r="R16" s="47">
        <f>R15</f>
        <v>13.600925925925926</v>
      </c>
      <c r="S16" s="48">
        <f t="shared" ref="S16:S25" si="3">Q16/R16</f>
        <v>0.35461424000466818</v>
      </c>
    </row>
    <row r="17" spans="1:19" x14ac:dyDescent="0.25">
      <c r="B17" s="51" t="s">
        <v>140</v>
      </c>
      <c r="C17">
        <f>(C15-C16)/10</f>
        <v>1.5992436183122648E-2</v>
      </c>
      <c r="O17" s="54"/>
      <c r="P17" s="45">
        <f t="shared" si="2"/>
        <v>0.70833333333333337</v>
      </c>
      <c r="Q17" s="47">
        <v>8.1599206349206348</v>
      </c>
      <c r="R17" s="47">
        <f>R16</f>
        <v>13.600925925925926</v>
      </c>
      <c r="S17" s="48">
        <f t="shared" si="3"/>
        <v>0.59995331783744876</v>
      </c>
    </row>
    <row r="18" spans="1:19" ht="21" x14ac:dyDescent="0.35">
      <c r="B18" s="127" t="s">
        <v>142</v>
      </c>
      <c r="C18" s="226">
        <f>C17/I27</f>
        <v>1.0591017339816322E-2</v>
      </c>
      <c r="D18" s="226"/>
      <c r="O18" s="54"/>
      <c r="P18" s="45">
        <f t="shared" si="2"/>
        <v>0.70833333333333337</v>
      </c>
      <c r="Q18" s="47">
        <v>8.1599206349206348</v>
      </c>
      <c r="R18" s="47">
        <f t="shared" ref="R18:R25" si="4">R17</f>
        <v>13.600925925925926</v>
      </c>
      <c r="S18" s="48">
        <f t="shared" si="3"/>
        <v>0.59995331783744876</v>
      </c>
    </row>
    <row r="19" spans="1:19" x14ac:dyDescent="0.25">
      <c r="N19" s="42"/>
      <c r="O19" s="54"/>
      <c r="P19" s="45">
        <f t="shared" si="2"/>
        <v>0.70833333333333337</v>
      </c>
      <c r="Q19" s="47">
        <v>8.1599206349206348</v>
      </c>
      <c r="R19" s="47">
        <f t="shared" si="4"/>
        <v>13.600925925925926</v>
      </c>
      <c r="S19" s="48">
        <f t="shared" si="3"/>
        <v>0.59995331783744876</v>
      </c>
    </row>
    <row r="20" spans="1:19" x14ac:dyDescent="0.25">
      <c r="O20" s="54"/>
      <c r="P20" s="45">
        <f t="shared" si="2"/>
        <v>0.70833333333333337</v>
      </c>
      <c r="Q20" s="47">
        <v>8.1599206349206348</v>
      </c>
      <c r="R20" s="47">
        <f t="shared" si="4"/>
        <v>13.600925925925926</v>
      </c>
      <c r="S20" s="48">
        <f t="shared" si="3"/>
        <v>0.59995331783744876</v>
      </c>
    </row>
    <row r="21" spans="1:19" x14ac:dyDescent="0.25">
      <c r="O21" s="54"/>
      <c r="P21" s="45">
        <f t="shared" si="2"/>
        <v>0.15740740740740741</v>
      </c>
      <c r="Q21" s="47">
        <v>1.6250661375661379</v>
      </c>
      <c r="R21" s="47">
        <f t="shared" si="4"/>
        <v>13.600925925925926</v>
      </c>
      <c r="S21" s="48">
        <f t="shared" si="3"/>
        <v>0.11948202250469256</v>
      </c>
    </row>
    <row r="22" spans="1:19" x14ac:dyDescent="0.25">
      <c r="B22" s="43" t="s">
        <v>130</v>
      </c>
      <c r="O22" s="54"/>
      <c r="P22" s="45">
        <f t="shared" si="2"/>
        <v>9.3783068783068774E-2</v>
      </c>
      <c r="Q22" s="47">
        <v>1.1824735449735451</v>
      </c>
      <c r="R22" s="47">
        <f t="shared" si="4"/>
        <v>13.600925925925926</v>
      </c>
      <c r="S22" s="48">
        <f t="shared" si="3"/>
        <v>8.6940665026307345E-2</v>
      </c>
    </row>
    <row r="23" spans="1:19" x14ac:dyDescent="0.25">
      <c r="B23" s="43" t="s">
        <v>131</v>
      </c>
      <c r="O23" s="54"/>
      <c r="P23" s="45">
        <f t="shared" si="2"/>
        <v>0.70833333333333337</v>
      </c>
      <c r="Q23" s="47">
        <v>8.1599206349206348</v>
      </c>
      <c r="R23" s="47">
        <f t="shared" si="4"/>
        <v>13.600925925925926</v>
      </c>
      <c r="S23" s="48">
        <f t="shared" si="3"/>
        <v>0.59995331783744876</v>
      </c>
    </row>
    <row r="24" spans="1:19" x14ac:dyDescent="0.25">
      <c r="B24" s="43" t="s">
        <v>132</v>
      </c>
      <c r="O24" s="54"/>
      <c r="P24" s="45">
        <f t="shared" si="2"/>
        <v>1</v>
      </c>
      <c r="Q24" s="47">
        <v>13.600925925925926</v>
      </c>
      <c r="R24" s="47">
        <f t="shared" si="4"/>
        <v>13.600925925925926</v>
      </c>
      <c r="S24" s="48">
        <f t="shared" si="3"/>
        <v>1</v>
      </c>
    </row>
    <row r="25" spans="1:19" x14ac:dyDescent="0.25">
      <c r="A25" t="s">
        <v>141</v>
      </c>
      <c r="O25" s="55"/>
      <c r="P25" s="56">
        <f t="shared" si="2"/>
        <v>0.15740740740740741</v>
      </c>
      <c r="Q25" s="49">
        <v>1.6250661375661379</v>
      </c>
      <c r="R25" s="49">
        <f t="shared" si="4"/>
        <v>13.600925925925926</v>
      </c>
      <c r="S25" s="50">
        <f t="shared" si="3"/>
        <v>0.11948202250469256</v>
      </c>
    </row>
    <row r="26" spans="1:19" x14ac:dyDescent="0.25">
      <c r="A26">
        <v>3</v>
      </c>
      <c r="B26">
        <v>4</v>
      </c>
      <c r="C26">
        <v>5</v>
      </c>
      <c r="D26">
        <v>6</v>
      </c>
      <c r="E26">
        <v>7</v>
      </c>
      <c r="F26">
        <v>8</v>
      </c>
      <c r="G26">
        <v>9</v>
      </c>
      <c r="H26">
        <v>10</v>
      </c>
      <c r="I26">
        <v>11</v>
      </c>
      <c r="J26">
        <v>12</v>
      </c>
      <c r="K26">
        <v>13</v>
      </c>
      <c r="L26">
        <v>14</v>
      </c>
      <c r="M26">
        <v>15</v>
      </c>
      <c r="O26" s="46" t="s">
        <v>137</v>
      </c>
      <c r="P26" s="52" t="s">
        <v>133</v>
      </c>
      <c r="Q26" s="52" t="s">
        <v>135</v>
      </c>
      <c r="R26" s="52" t="s">
        <v>134</v>
      </c>
      <c r="S26" s="53" t="s">
        <v>136</v>
      </c>
    </row>
    <row r="27" spans="1:19" x14ac:dyDescent="0.25">
      <c r="A27">
        <v>0.57999999999999996</v>
      </c>
      <c r="B27">
        <v>0.9</v>
      </c>
      <c r="C27">
        <v>1.1200000000000001</v>
      </c>
      <c r="D27">
        <v>1.24</v>
      </c>
      <c r="E27">
        <v>1.32</v>
      </c>
      <c r="F27">
        <v>1.41</v>
      </c>
      <c r="G27">
        <v>1.45</v>
      </c>
      <c r="H27">
        <v>1.49</v>
      </c>
      <c r="I27">
        <v>1.51</v>
      </c>
      <c r="J27">
        <v>1.48</v>
      </c>
      <c r="K27">
        <v>1.56</v>
      </c>
      <c r="L27">
        <v>1.57</v>
      </c>
      <c r="M27">
        <v>1.59</v>
      </c>
      <c r="O27" s="44">
        <f>O15+1</f>
        <v>3</v>
      </c>
      <c r="P27" s="45">
        <f t="shared" ref="P27:P37" si="5">S15</f>
        <v>0.35461424000466818</v>
      </c>
      <c r="Q27" s="47">
        <f t="array" ref="Q27:Q37">MMULT($C$3:$M$13,P27:P37)</f>
        <v>3.9330046131053691</v>
      </c>
      <c r="R27" s="47">
        <f>LARGE(Q27:Q37,1)</f>
        <v>11.16958754364296</v>
      </c>
      <c r="S27" s="48">
        <f>Q27/R27</f>
        <v>0.35211726464723336</v>
      </c>
    </row>
    <row r="28" spans="1:19" x14ac:dyDescent="0.25">
      <c r="O28" s="54"/>
      <c r="P28" s="45">
        <f t="shared" si="5"/>
        <v>0.35461424000466818</v>
      </c>
      <c r="Q28" s="47">
        <v>3.9330046131053691</v>
      </c>
      <c r="R28" s="47">
        <f>R27</f>
        <v>11.16958754364296</v>
      </c>
      <c r="S28" s="48">
        <f t="shared" ref="S28:S37" si="6">Q28/R28</f>
        <v>0.35211726464723336</v>
      </c>
    </row>
    <row r="29" spans="1:19" x14ac:dyDescent="0.25">
      <c r="O29" s="54"/>
      <c r="P29" s="45">
        <f t="shared" si="5"/>
        <v>0.59995331783744876</v>
      </c>
      <c r="Q29" s="47">
        <v>6.6346877644106863</v>
      </c>
      <c r="R29" s="47">
        <f>R28</f>
        <v>11.16958754364296</v>
      </c>
      <c r="S29" s="48">
        <f t="shared" si="6"/>
        <v>0.59399577097067846</v>
      </c>
    </row>
    <row r="30" spans="1:19" x14ac:dyDescent="0.25">
      <c r="O30" s="54"/>
      <c r="P30" s="45">
        <f t="shared" si="5"/>
        <v>0.59995331783744876</v>
      </c>
      <c r="Q30" s="47">
        <v>6.6346877644106863</v>
      </c>
      <c r="R30" s="47">
        <f t="shared" ref="R30:R37" si="7">R29</f>
        <v>11.16958754364296</v>
      </c>
      <c r="S30" s="48">
        <f t="shared" si="6"/>
        <v>0.59399577097067846</v>
      </c>
    </row>
    <row r="31" spans="1:19" x14ac:dyDescent="0.25">
      <c r="O31" s="54"/>
      <c r="P31" s="45">
        <f t="shared" si="5"/>
        <v>0.59995331783744876</v>
      </c>
      <c r="Q31" s="47">
        <v>6.6346877644106863</v>
      </c>
      <c r="R31" s="47">
        <f t="shared" si="7"/>
        <v>11.16958754364296</v>
      </c>
      <c r="S31" s="48">
        <f t="shared" si="6"/>
        <v>0.59399577097067846</v>
      </c>
    </row>
    <row r="32" spans="1:19" x14ac:dyDescent="0.25">
      <c r="O32" s="54"/>
      <c r="P32" s="45">
        <f t="shared" si="5"/>
        <v>0.59995331783744876</v>
      </c>
      <c r="Q32" s="47">
        <v>6.6346877644106863</v>
      </c>
      <c r="R32" s="47">
        <f t="shared" si="7"/>
        <v>11.16958754364296</v>
      </c>
      <c r="S32" s="48">
        <f t="shared" si="6"/>
        <v>0.59399577097067846</v>
      </c>
    </row>
    <row r="33" spans="15:19" x14ac:dyDescent="0.25">
      <c r="O33" s="54"/>
      <c r="P33" s="45">
        <f t="shared" si="5"/>
        <v>0.11948202250469256</v>
      </c>
      <c r="Q33" s="47">
        <v>1.3567724795684495</v>
      </c>
      <c r="R33" s="47">
        <f t="shared" si="7"/>
        <v>11.16958754364296</v>
      </c>
      <c r="S33" s="48">
        <f t="shared" si="6"/>
        <v>0.12147023999472932</v>
      </c>
    </row>
    <row r="34" spans="15:19" x14ac:dyDescent="0.25">
      <c r="O34" s="54"/>
      <c r="P34" s="45">
        <f t="shared" si="5"/>
        <v>8.6940665026307345E-2</v>
      </c>
      <c r="Q34" s="47">
        <v>0.9910866245878841</v>
      </c>
      <c r="R34" s="47">
        <f t="shared" si="7"/>
        <v>11.16958754364296</v>
      </c>
      <c r="S34" s="48">
        <f t="shared" si="6"/>
        <v>8.8730816667617188E-2</v>
      </c>
    </row>
    <row r="35" spans="15:19" x14ac:dyDescent="0.25">
      <c r="O35" s="54"/>
      <c r="P35" s="45">
        <f t="shared" si="5"/>
        <v>0.59995331783744876</v>
      </c>
      <c r="Q35" s="47">
        <v>6.6346877644106863</v>
      </c>
      <c r="R35" s="47">
        <f t="shared" si="7"/>
        <v>11.16958754364296</v>
      </c>
      <c r="S35" s="48">
        <f t="shared" si="6"/>
        <v>0.59399577097067846</v>
      </c>
    </row>
    <row r="36" spans="15:19" x14ac:dyDescent="0.25">
      <c r="O36" s="54"/>
      <c r="P36" s="45">
        <f t="shared" si="5"/>
        <v>1</v>
      </c>
      <c r="Q36" s="47">
        <v>11.16958754364296</v>
      </c>
      <c r="R36" s="47">
        <f t="shared" si="7"/>
        <v>11.16958754364296</v>
      </c>
      <c r="S36" s="48">
        <f t="shared" si="6"/>
        <v>1</v>
      </c>
    </row>
    <row r="37" spans="15:19" x14ac:dyDescent="0.25">
      <c r="O37" s="55"/>
      <c r="P37" s="56">
        <f t="shared" si="5"/>
        <v>0.11948202250469256</v>
      </c>
      <c r="Q37" s="49">
        <v>1.3567724795684495</v>
      </c>
      <c r="R37" s="49">
        <f t="shared" si="7"/>
        <v>11.16958754364296</v>
      </c>
      <c r="S37" s="50">
        <f t="shared" si="6"/>
        <v>0.12147023999472932</v>
      </c>
    </row>
    <row r="38" spans="15:19" x14ac:dyDescent="0.25">
      <c r="O38" s="46" t="s">
        <v>137</v>
      </c>
      <c r="P38" s="52" t="s">
        <v>133</v>
      </c>
      <c r="Q38" s="52" t="s">
        <v>135</v>
      </c>
      <c r="R38" s="52" t="s">
        <v>134</v>
      </c>
      <c r="S38" s="53" t="s">
        <v>136</v>
      </c>
    </row>
    <row r="39" spans="15:19" x14ac:dyDescent="0.25">
      <c r="O39" s="44">
        <f>O27+1</f>
        <v>4</v>
      </c>
      <c r="P39" s="45">
        <f t="shared" ref="P39:P49" si="8">S27</f>
        <v>0.35211726464723336</v>
      </c>
      <c r="Q39" s="47">
        <f t="array" ref="Q39:Q49">MMULT($C$3:$M$13,P39:P49)</f>
        <v>3.9379732933504163</v>
      </c>
      <c r="R39" s="47">
        <f>LARGE(Q39:Q49,1)</f>
        <v>11.131419894200258</v>
      </c>
      <c r="S39" s="48">
        <f>Q39/R39</f>
        <v>0.35377097717805045</v>
      </c>
    </row>
    <row r="40" spans="15:19" x14ac:dyDescent="0.25">
      <c r="O40" s="54"/>
      <c r="P40" s="45">
        <f t="shared" si="8"/>
        <v>0.35211726464723336</v>
      </c>
      <c r="Q40" s="47">
        <v>3.9379732933504163</v>
      </c>
      <c r="R40" s="47">
        <f>R39</f>
        <v>11.131419894200258</v>
      </c>
      <c r="S40" s="48">
        <f t="shared" ref="S40:S49" si="9">Q40/R40</f>
        <v>0.35377097717805045</v>
      </c>
    </row>
    <row r="41" spans="15:19" x14ac:dyDescent="0.25">
      <c r="O41" s="54"/>
      <c r="P41" s="45">
        <f t="shared" si="8"/>
        <v>0.59399577097067846</v>
      </c>
      <c r="Q41" s="47">
        <v>6.6255352133953229</v>
      </c>
      <c r="R41" s="47">
        <f>R40</f>
        <v>11.131419894200258</v>
      </c>
      <c r="S41" s="48">
        <f t="shared" si="9"/>
        <v>0.59521024957897684</v>
      </c>
    </row>
    <row r="42" spans="15:19" x14ac:dyDescent="0.25">
      <c r="O42" s="54"/>
      <c r="P42" s="45">
        <f t="shared" si="8"/>
        <v>0.59399577097067846</v>
      </c>
      <c r="Q42" s="47">
        <v>6.6255352133953229</v>
      </c>
      <c r="R42" s="47">
        <f t="shared" ref="R42:R49" si="10">R41</f>
        <v>11.131419894200258</v>
      </c>
      <c r="S42" s="48">
        <f t="shared" si="9"/>
        <v>0.59521024957897684</v>
      </c>
    </row>
    <row r="43" spans="15:19" x14ac:dyDescent="0.25">
      <c r="O43" s="54"/>
      <c r="P43" s="45">
        <f t="shared" si="8"/>
        <v>0.59399577097067846</v>
      </c>
      <c r="Q43" s="47">
        <v>6.6255352133953229</v>
      </c>
      <c r="R43" s="47">
        <f t="shared" si="10"/>
        <v>11.131419894200258</v>
      </c>
      <c r="S43" s="48">
        <f t="shared" si="9"/>
        <v>0.59521024957897684</v>
      </c>
    </row>
    <row r="44" spans="15:19" x14ac:dyDescent="0.25">
      <c r="O44" s="54"/>
      <c r="P44" s="45">
        <f t="shared" si="8"/>
        <v>0.59399577097067846</v>
      </c>
      <c r="Q44" s="47">
        <v>6.6255352133953229</v>
      </c>
      <c r="R44" s="47">
        <f t="shared" si="10"/>
        <v>11.131419894200258</v>
      </c>
      <c r="S44" s="48">
        <f t="shared" si="9"/>
        <v>0.59521024957897684</v>
      </c>
    </row>
    <row r="45" spans="15:19" x14ac:dyDescent="0.25">
      <c r="O45" s="54"/>
      <c r="P45" s="45">
        <f t="shared" si="8"/>
        <v>0.12147023999472932</v>
      </c>
      <c r="Q45" s="47">
        <v>1.357123183285655</v>
      </c>
      <c r="R45" s="47">
        <f t="shared" si="10"/>
        <v>11.131419894200258</v>
      </c>
      <c r="S45" s="48">
        <f t="shared" si="9"/>
        <v>0.12191824548750958</v>
      </c>
    </row>
    <row r="46" spans="15:19" x14ac:dyDescent="0.25">
      <c r="O46" s="54"/>
      <c r="P46" s="45">
        <f t="shared" si="8"/>
        <v>8.8730816667617188E-2</v>
      </c>
      <c r="Q46" s="47">
        <v>0.98890158118728144</v>
      </c>
      <c r="R46" s="47">
        <f t="shared" si="10"/>
        <v>11.131419894200258</v>
      </c>
      <c r="S46" s="48">
        <f t="shared" si="9"/>
        <v>8.8838763660557207E-2</v>
      </c>
    </row>
    <row r="47" spans="15:19" x14ac:dyDescent="0.25">
      <c r="O47" s="54"/>
      <c r="P47" s="45">
        <f t="shared" si="8"/>
        <v>0.59399577097067846</v>
      </c>
      <c r="Q47" s="47">
        <v>6.6255352133953229</v>
      </c>
      <c r="R47" s="47">
        <f t="shared" si="10"/>
        <v>11.131419894200258</v>
      </c>
      <c r="S47" s="48">
        <f t="shared" si="9"/>
        <v>0.59521024957897684</v>
      </c>
    </row>
    <row r="48" spans="15:19" x14ac:dyDescent="0.25">
      <c r="O48" s="54"/>
      <c r="P48" s="45">
        <f t="shared" si="8"/>
        <v>1</v>
      </c>
      <c r="Q48" s="47">
        <v>11.131419894200258</v>
      </c>
      <c r="R48" s="47">
        <f t="shared" si="10"/>
        <v>11.131419894200258</v>
      </c>
      <c r="S48" s="48">
        <f t="shared" si="9"/>
        <v>1</v>
      </c>
    </row>
    <row r="49" spans="15:19" x14ac:dyDescent="0.25">
      <c r="O49" s="55"/>
      <c r="P49" s="56">
        <f t="shared" si="8"/>
        <v>0.12147023999472932</v>
      </c>
      <c r="Q49" s="49">
        <v>1.357123183285655</v>
      </c>
      <c r="R49" s="49">
        <f t="shared" si="10"/>
        <v>11.131419894200258</v>
      </c>
      <c r="S49" s="50">
        <f t="shared" si="9"/>
        <v>0.12191824548750958</v>
      </c>
    </row>
    <row r="50" spans="15:19" x14ac:dyDescent="0.25">
      <c r="O50" s="46" t="s">
        <v>137</v>
      </c>
      <c r="P50" s="52" t="s">
        <v>133</v>
      </c>
      <c r="Q50" s="52" t="s">
        <v>135</v>
      </c>
      <c r="R50" s="52" t="s">
        <v>134</v>
      </c>
      <c r="S50" s="53" t="s">
        <v>136</v>
      </c>
    </row>
    <row r="51" spans="15:19" x14ac:dyDescent="0.25">
      <c r="O51" s="44">
        <f>O39+1</f>
        <v>5</v>
      </c>
      <c r="P51" s="45">
        <f t="shared" ref="P51:P61" si="11">S39</f>
        <v>0.35377097717805045</v>
      </c>
      <c r="Q51" s="47">
        <f t="array" ref="Q51:Q61">MMULT($C$3:$M$13,P51:P61)</f>
        <v>3.9484406938397392</v>
      </c>
      <c r="R51" s="47">
        <f>LARGE(Q51:Q61,1)</f>
        <v>11.159618650332087</v>
      </c>
      <c r="S51" s="48">
        <f>Q51/R51</f>
        <v>0.35381501981003999</v>
      </c>
    </row>
    <row r="52" spans="15:19" x14ac:dyDescent="0.25">
      <c r="O52" s="54"/>
      <c r="P52" s="45">
        <f t="shared" si="11"/>
        <v>0.35377097717805045</v>
      </c>
      <c r="Q52" s="47">
        <v>3.9484406938397392</v>
      </c>
      <c r="R52" s="47">
        <f>R51</f>
        <v>11.159618650332087</v>
      </c>
      <c r="S52" s="48">
        <f t="shared" ref="S52:S61" si="12">Q52/R52</f>
        <v>0.35381501981003999</v>
      </c>
    </row>
    <row r="53" spans="15:19" x14ac:dyDescent="0.25">
      <c r="O53" s="54"/>
      <c r="P53" s="45">
        <f t="shared" si="11"/>
        <v>0.59521024957897684</v>
      </c>
      <c r="Q53" s="47">
        <v>6.6433501934455252</v>
      </c>
      <c r="R53" s="47">
        <f>R52</f>
        <v>11.159618650332087</v>
      </c>
      <c r="S53" s="48">
        <f t="shared" si="12"/>
        <v>0.59530261755385638</v>
      </c>
    </row>
    <row r="54" spans="15:19" x14ac:dyDescent="0.25">
      <c r="O54" s="54"/>
      <c r="P54" s="45">
        <f t="shared" si="11"/>
        <v>0.59521024957897684</v>
      </c>
      <c r="Q54" s="47">
        <v>6.6433501934455252</v>
      </c>
      <c r="R54" s="47">
        <f t="shared" ref="R54:R61" si="13">R53</f>
        <v>11.159618650332087</v>
      </c>
      <c r="S54" s="48">
        <f t="shared" si="12"/>
        <v>0.59530261755385638</v>
      </c>
    </row>
    <row r="55" spans="15:19" x14ac:dyDescent="0.25">
      <c r="O55" s="54"/>
      <c r="P55" s="45">
        <f t="shared" si="11"/>
        <v>0.59521024957897684</v>
      </c>
      <c r="Q55" s="47">
        <v>6.6433501934455252</v>
      </c>
      <c r="R55" s="47">
        <f t="shared" si="13"/>
        <v>11.159618650332087</v>
      </c>
      <c r="S55" s="48">
        <f t="shared" si="12"/>
        <v>0.59530261755385638</v>
      </c>
    </row>
    <row r="56" spans="15:19" x14ac:dyDescent="0.25">
      <c r="O56" s="54"/>
      <c r="P56" s="45">
        <f t="shared" si="11"/>
        <v>0.59521024957897684</v>
      </c>
      <c r="Q56" s="47">
        <v>6.6433501934455252</v>
      </c>
      <c r="R56" s="47">
        <f t="shared" si="13"/>
        <v>11.159618650332087</v>
      </c>
      <c r="S56" s="48">
        <f t="shared" si="12"/>
        <v>0.59530261755385638</v>
      </c>
    </row>
    <row r="57" spans="15:19" x14ac:dyDescent="0.25">
      <c r="O57" s="54"/>
      <c r="P57" s="45">
        <f t="shared" si="11"/>
        <v>0.12191824548750958</v>
      </c>
      <c r="Q57" s="47">
        <v>1.3602764231308024</v>
      </c>
      <c r="R57" s="47">
        <f t="shared" si="13"/>
        <v>11.159618650332087</v>
      </c>
      <c r="S57" s="48">
        <f t="shared" si="12"/>
        <v>0.12189273359178124</v>
      </c>
    </row>
    <row r="58" spans="15:19" x14ac:dyDescent="0.25">
      <c r="O58" s="54"/>
      <c r="P58" s="45">
        <f t="shared" si="11"/>
        <v>8.8838763660557207E-2</v>
      </c>
      <c r="Q58" s="47">
        <v>0.99113108419224372</v>
      </c>
      <c r="R58" s="47">
        <f t="shared" si="13"/>
        <v>11.159618650332087</v>
      </c>
      <c r="S58" s="48">
        <f t="shared" si="12"/>
        <v>8.8814063925271289E-2</v>
      </c>
    </row>
    <row r="59" spans="15:19" x14ac:dyDescent="0.25">
      <c r="O59" s="54"/>
      <c r="P59" s="45">
        <f t="shared" si="11"/>
        <v>0.59521024957897684</v>
      </c>
      <c r="Q59" s="47">
        <v>6.6433501934455252</v>
      </c>
      <c r="R59" s="47">
        <f t="shared" si="13"/>
        <v>11.159618650332087</v>
      </c>
      <c r="S59" s="48">
        <f t="shared" si="12"/>
        <v>0.59530261755385638</v>
      </c>
    </row>
    <row r="60" spans="15:19" x14ac:dyDescent="0.25">
      <c r="O60" s="54"/>
      <c r="P60" s="45">
        <f t="shared" si="11"/>
        <v>1</v>
      </c>
      <c r="Q60" s="47">
        <v>11.159618650332087</v>
      </c>
      <c r="R60" s="47">
        <f t="shared" si="13"/>
        <v>11.159618650332087</v>
      </c>
      <c r="S60" s="48">
        <f t="shared" si="12"/>
        <v>1</v>
      </c>
    </row>
    <row r="61" spans="15:19" x14ac:dyDescent="0.25">
      <c r="O61" s="55"/>
      <c r="P61" s="56">
        <f t="shared" si="11"/>
        <v>0.12191824548750958</v>
      </c>
      <c r="Q61" s="49">
        <v>1.3602764231308024</v>
      </c>
      <c r="R61" s="49">
        <f t="shared" si="13"/>
        <v>11.159618650332087</v>
      </c>
      <c r="S61" s="50">
        <f t="shared" si="12"/>
        <v>0.12189273359178124</v>
      </c>
    </row>
    <row r="62" spans="15:19" x14ac:dyDescent="0.25">
      <c r="O62" s="46" t="s">
        <v>137</v>
      </c>
      <c r="P62" s="52" t="s">
        <v>133</v>
      </c>
      <c r="Q62" s="52" t="s">
        <v>135</v>
      </c>
      <c r="R62" s="52" t="s">
        <v>134</v>
      </c>
      <c r="S62" s="53" t="s">
        <v>136</v>
      </c>
    </row>
    <row r="63" spans="15:19" x14ac:dyDescent="0.25">
      <c r="O63" s="44">
        <f>O51+1</f>
        <v>6</v>
      </c>
      <c r="P63" s="45">
        <f t="shared" ref="P63:P73" si="14">S51</f>
        <v>0.35381501981003999</v>
      </c>
      <c r="Q63" s="47">
        <f t="array" ref="Q63:Q73">MMULT($C$3:$M$13,P63:P73)</f>
        <v>3.9484321051986604</v>
      </c>
      <c r="R63" s="47">
        <f>LARGE(Q63:Q73,1)</f>
        <v>11.160327544977077</v>
      </c>
      <c r="S63" s="48">
        <f>Q63/R63</f>
        <v>0.35379177620783442</v>
      </c>
    </row>
    <row r="64" spans="15:19" x14ac:dyDescent="0.25">
      <c r="O64" s="54"/>
      <c r="P64" s="45">
        <f t="shared" si="14"/>
        <v>0.35381501981003999</v>
      </c>
      <c r="Q64" s="47">
        <v>3.9484321051986604</v>
      </c>
      <c r="R64" s="47">
        <f>R63</f>
        <v>11.160327544977077</v>
      </c>
      <c r="S64" s="48">
        <f t="shared" ref="S64:S73" si="15">Q64/R64</f>
        <v>0.35379177620783442</v>
      </c>
    </row>
    <row r="65" spans="15:19" x14ac:dyDescent="0.25">
      <c r="O65" s="54"/>
      <c r="P65" s="45">
        <f t="shared" si="14"/>
        <v>0.59530261755385638</v>
      </c>
      <c r="Q65" s="47">
        <v>6.6435848864788811</v>
      </c>
      <c r="R65" s="47">
        <f>R64</f>
        <v>11.160327544977077</v>
      </c>
      <c r="S65" s="48">
        <f t="shared" si="15"/>
        <v>0.59528583365538912</v>
      </c>
    </row>
    <row r="66" spans="15:19" x14ac:dyDescent="0.25">
      <c r="O66" s="54"/>
      <c r="P66" s="45">
        <f t="shared" si="14"/>
        <v>0.59530261755385638</v>
      </c>
      <c r="Q66" s="47">
        <v>6.6435848864788811</v>
      </c>
      <c r="R66" s="47">
        <f t="shared" ref="R66:R73" si="16">R65</f>
        <v>11.160327544977077</v>
      </c>
      <c r="S66" s="48">
        <f t="shared" si="15"/>
        <v>0.59528583365538912</v>
      </c>
    </row>
    <row r="67" spans="15:19" x14ac:dyDescent="0.25">
      <c r="O67" s="54"/>
      <c r="P67" s="45">
        <f t="shared" si="14"/>
        <v>0.59530261755385638</v>
      </c>
      <c r="Q67" s="47">
        <v>6.6435848864788811</v>
      </c>
      <c r="R67" s="47">
        <f t="shared" si="16"/>
        <v>11.160327544977077</v>
      </c>
      <c r="S67" s="48">
        <f t="shared" si="15"/>
        <v>0.59528583365538912</v>
      </c>
    </row>
    <row r="68" spans="15:19" x14ac:dyDescent="0.25">
      <c r="O68" s="54"/>
      <c r="P68" s="45">
        <f t="shared" si="14"/>
        <v>0.59530261755385638</v>
      </c>
      <c r="Q68" s="47">
        <v>6.6435848864788811</v>
      </c>
      <c r="R68" s="47">
        <f t="shared" si="16"/>
        <v>11.160327544977077</v>
      </c>
      <c r="S68" s="48">
        <f t="shared" si="15"/>
        <v>0.59528583365538912</v>
      </c>
    </row>
    <row r="69" spans="15:19" x14ac:dyDescent="0.25">
      <c r="O69" s="54"/>
      <c r="P69" s="45">
        <f t="shared" si="14"/>
        <v>0.12189273359178124</v>
      </c>
      <c r="Q69" s="47">
        <v>1.3602903891596481</v>
      </c>
      <c r="R69" s="47">
        <f t="shared" si="16"/>
        <v>11.160327544977077</v>
      </c>
      <c r="S69" s="48">
        <f t="shared" si="15"/>
        <v>0.12188624246712841</v>
      </c>
    </row>
    <row r="70" spans="15:19" x14ac:dyDescent="0.25">
      <c r="O70" s="54"/>
      <c r="P70" s="45">
        <f t="shared" si="14"/>
        <v>8.8814063925271289E-2</v>
      </c>
      <c r="Q70" s="47">
        <v>0.991175462926425</v>
      </c>
      <c r="R70" s="47">
        <f t="shared" si="16"/>
        <v>11.160327544977077</v>
      </c>
      <c r="S70" s="48">
        <f t="shared" si="15"/>
        <v>8.8812399002798331E-2</v>
      </c>
    </row>
    <row r="71" spans="15:19" x14ac:dyDescent="0.25">
      <c r="O71" s="54"/>
      <c r="P71" s="45">
        <f t="shared" si="14"/>
        <v>0.59530261755385638</v>
      </c>
      <c r="Q71" s="47">
        <v>6.6435848864788811</v>
      </c>
      <c r="R71" s="47">
        <f t="shared" si="16"/>
        <v>11.160327544977077</v>
      </c>
      <c r="S71" s="48">
        <f t="shared" si="15"/>
        <v>0.59528583365538912</v>
      </c>
    </row>
    <row r="72" spans="15:19" x14ac:dyDescent="0.25">
      <c r="O72" s="54"/>
      <c r="P72" s="45">
        <f t="shared" si="14"/>
        <v>1</v>
      </c>
      <c r="Q72" s="47">
        <v>11.160327544977077</v>
      </c>
      <c r="R72" s="47">
        <f t="shared" si="16"/>
        <v>11.160327544977077</v>
      </c>
      <c r="S72" s="48">
        <f t="shared" si="15"/>
        <v>1</v>
      </c>
    </row>
    <row r="73" spans="15:19" x14ac:dyDescent="0.25">
      <c r="O73" s="55"/>
      <c r="P73" s="56">
        <f t="shared" si="14"/>
        <v>0.12189273359178124</v>
      </c>
      <c r="Q73" s="49">
        <v>1.3602903891596481</v>
      </c>
      <c r="R73" s="49">
        <f t="shared" si="16"/>
        <v>11.160327544977077</v>
      </c>
      <c r="S73" s="50">
        <f t="shared" si="15"/>
        <v>0.12188624246712841</v>
      </c>
    </row>
    <row r="74" spans="15:19" x14ac:dyDescent="0.25">
      <c r="O74" s="46" t="s">
        <v>137</v>
      </c>
      <c r="P74" s="52" t="s">
        <v>133</v>
      </c>
      <c r="Q74" s="52" t="s">
        <v>135</v>
      </c>
      <c r="R74" s="52" t="s">
        <v>134</v>
      </c>
      <c r="S74" s="53" t="s">
        <v>136</v>
      </c>
    </row>
    <row r="75" spans="15:19" x14ac:dyDescent="0.25">
      <c r="O75" s="44">
        <f>O63+1</f>
        <v>7</v>
      </c>
      <c r="P75" s="45">
        <f t="shared" ref="P75:P85" si="17">S63</f>
        <v>0.35379177620783442</v>
      </c>
      <c r="Q75" s="47">
        <f t="array" ref="Q75:Q85">MMULT($C$3:$M$13,P75:P85)</f>
        <v>3.9482834046384943</v>
      </c>
      <c r="R75" s="47">
        <f>LARGE(Q75:Q85,1)</f>
        <v>11.159930696426027</v>
      </c>
      <c r="S75" s="48">
        <f>Q75/R75</f>
        <v>0.35379103258257094</v>
      </c>
    </row>
    <row r="76" spans="15:19" x14ac:dyDescent="0.25">
      <c r="O76" s="54"/>
      <c r="P76" s="45">
        <f t="shared" si="17"/>
        <v>0.35379177620783442</v>
      </c>
      <c r="Q76" s="47">
        <v>3.9482834046384943</v>
      </c>
      <c r="R76" s="47">
        <f>R75</f>
        <v>11.159930696426027</v>
      </c>
      <c r="S76" s="48">
        <f t="shared" ref="S76:S85" si="18">Q76/R76</f>
        <v>0.35379103258257094</v>
      </c>
    </row>
    <row r="77" spans="15:19" x14ac:dyDescent="0.25">
      <c r="O77" s="54"/>
      <c r="P77" s="45">
        <f t="shared" si="17"/>
        <v>0.59528583365538912</v>
      </c>
      <c r="Q77" s="47">
        <v>6.6433330917963582</v>
      </c>
      <c r="R77" s="47">
        <f>R76</f>
        <v>11.159930696426027</v>
      </c>
      <c r="S77" s="48">
        <f t="shared" si="18"/>
        <v>0.59528443970748746</v>
      </c>
    </row>
    <row r="78" spans="15:19" x14ac:dyDescent="0.25">
      <c r="O78" s="54"/>
      <c r="P78" s="45">
        <f t="shared" si="17"/>
        <v>0.59528583365538912</v>
      </c>
      <c r="Q78" s="47">
        <v>6.6433330917963582</v>
      </c>
      <c r="R78" s="47">
        <f t="shared" ref="R78:R85" si="19">R77</f>
        <v>11.159930696426027</v>
      </c>
      <c r="S78" s="48">
        <f t="shared" si="18"/>
        <v>0.59528443970748746</v>
      </c>
    </row>
    <row r="79" spans="15:19" x14ac:dyDescent="0.25">
      <c r="O79" s="54"/>
      <c r="P79" s="45">
        <f t="shared" si="17"/>
        <v>0.59528583365538912</v>
      </c>
      <c r="Q79" s="47">
        <v>6.6433330917963582</v>
      </c>
      <c r="R79" s="47">
        <f t="shared" si="19"/>
        <v>11.159930696426027</v>
      </c>
      <c r="S79" s="48">
        <f t="shared" si="18"/>
        <v>0.59528443970748746</v>
      </c>
    </row>
    <row r="80" spans="15:19" x14ac:dyDescent="0.25">
      <c r="O80" s="54"/>
      <c r="P80" s="45">
        <f t="shared" si="17"/>
        <v>0.59528583365538912</v>
      </c>
      <c r="Q80" s="47">
        <v>6.6433330917963582</v>
      </c>
      <c r="R80" s="47">
        <f t="shared" si="19"/>
        <v>11.159930696426027</v>
      </c>
      <c r="S80" s="48">
        <f t="shared" si="18"/>
        <v>0.59528443970748746</v>
      </c>
    </row>
    <row r="81" spans="15:19" x14ac:dyDescent="0.25">
      <c r="O81" s="54"/>
      <c r="P81" s="45">
        <f t="shared" si="17"/>
        <v>0.12188624246712841</v>
      </c>
      <c r="Q81" s="47">
        <v>1.3602456713658264</v>
      </c>
      <c r="R81" s="47">
        <f t="shared" si="19"/>
        <v>11.159930696426027</v>
      </c>
      <c r="S81" s="48">
        <f t="shared" si="18"/>
        <v>0.12188656976171418</v>
      </c>
    </row>
    <row r="82" spans="15:19" x14ac:dyDescent="0.25">
      <c r="O82" s="54"/>
      <c r="P82" s="45">
        <f t="shared" si="17"/>
        <v>8.8812399002798331E-2</v>
      </c>
      <c r="Q82" s="47">
        <v>0.99114402285636094</v>
      </c>
      <c r="R82" s="47">
        <f t="shared" si="19"/>
        <v>11.159930696426027</v>
      </c>
      <c r="S82" s="48">
        <f t="shared" si="18"/>
        <v>8.881273995489733E-2</v>
      </c>
    </row>
    <row r="83" spans="15:19" x14ac:dyDescent="0.25">
      <c r="O83" s="54"/>
      <c r="P83" s="45">
        <f t="shared" si="17"/>
        <v>0.59528583365538912</v>
      </c>
      <c r="Q83" s="47">
        <v>6.6433330917963582</v>
      </c>
      <c r="R83" s="47">
        <f t="shared" si="19"/>
        <v>11.159930696426027</v>
      </c>
      <c r="S83" s="48">
        <f t="shared" si="18"/>
        <v>0.59528443970748746</v>
      </c>
    </row>
    <row r="84" spans="15:19" x14ac:dyDescent="0.25">
      <c r="O84" s="54"/>
      <c r="P84" s="45">
        <f t="shared" si="17"/>
        <v>1</v>
      </c>
      <c r="Q84" s="47">
        <v>11.159930696426027</v>
      </c>
      <c r="R84" s="47">
        <f t="shared" si="19"/>
        <v>11.159930696426027</v>
      </c>
      <c r="S84" s="48">
        <f t="shared" si="18"/>
        <v>1</v>
      </c>
    </row>
    <row r="85" spans="15:19" x14ac:dyDescent="0.25">
      <c r="O85" s="55"/>
      <c r="P85" s="56">
        <f t="shared" si="17"/>
        <v>0.12188624246712841</v>
      </c>
      <c r="Q85" s="49">
        <v>1.3602456713658264</v>
      </c>
      <c r="R85" s="49">
        <f t="shared" si="19"/>
        <v>11.159930696426027</v>
      </c>
      <c r="S85" s="50">
        <f t="shared" si="18"/>
        <v>0.12188656976171418</v>
      </c>
    </row>
    <row r="86" spans="15:19" x14ac:dyDescent="0.25">
      <c r="O86" s="46" t="s">
        <v>137</v>
      </c>
      <c r="P86" s="52" t="s">
        <v>133</v>
      </c>
      <c r="Q86" s="52" t="s">
        <v>135</v>
      </c>
      <c r="R86" s="52" t="s">
        <v>134</v>
      </c>
      <c r="S86" s="53" t="s">
        <v>136</v>
      </c>
    </row>
    <row r="87" spans="15:19" x14ac:dyDescent="0.25">
      <c r="O87" s="44">
        <f>O75+1</f>
        <v>8</v>
      </c>
      <c r="P87" s="45">
        <f t="shared" ref="P87:P97" si="20">S75</f>
        <v>0.35379103258257094</v>
      </c>
      <c r="Q87" s="47">
        <f t="array" ref="Q87:Q97">MMULT($C$3:$M$13,P87:P97)</f>
        <v>3.9482827556353945</v>
      </c>
      <c r="R87" s="47">
        <f>LARGE(Q87:Q97,1)</f>
        <v>11.159918609395152</v>
      </c>
      <c r="S87" s="48">
        <f>Q87/R87</f>
        <v>0.35379135761003405</v>
      </c>
    </row>
    <row r="88" spans="15:19" x14ac:dyDescent="0.25">
      <c r="O88" s="54"/>
      <c r="P88" s="45">
        <f t="shared" si="20"/>
        <v>0.35379103258257094</v>
      </c>
      <c r="Q88" s="47">
        <v>3.9482827556353945</v>
      </c>
      <c r="R88" s="47">
        <f>R87</f>
        <v>11.159918609395152</v>
      </c>
      <c r="S88" s="48">
        <f t="shared" ref="S88:S97" si="21">Q88/R88</f>
        <v>0.35379135761003405</v>
      </c>
    </row>
    <row r="89" spans="15:19" x14ac:dyDescent="0.25">
      <c r="O89" s="54"/>
      <c r="P89" s="45">
        <f t="shared" si="20"/>
        <v>0.59528443970748746</v>
      </c>
      <c r="Q89" s="47">
        <v>6.6433284662142471</v>
      </c>
      <c r="R89" s="47">
        <f>R88</f>
        <v>11.159918609395152</v>
      </c>
      <c r="S89" s="48">
        <f t="shared" si="21"/>
        <v>0.59528466996358353</v>
      </c>
    </row>
    <row r="90" spans="15:19" x14ac:dyDescent="0.25">
      <c r="O90" s="54"/>
      <c r="P90" s="45">
        <f t="shared" si="20"/>
        <v>0.59528443970748746</v>
      </c>
      <c r="Q90" s="47">
        <v>6.6433284662142471</v>
      </c>
      <c r="R90" s="47">
        <f t="shared" ref="R90:R97" si="22">R89</f>
        <v>11.159918609395152</v>
      </c>
      <c r="S90" s="48">
        <f t="shared" si="21"/>
        <v>0.59528466996358353</v>
      </c>
    </row>
    <row r="91" spans="15:19" x14ac:dyDescent="0.25">
      <c r="O91" s="54"/>
      <c r="P91" s="45">
        <f t="shared" si="20"/>
        <v>0.59528443970748746</v>
      </c>
      <c r="Q91" s="47">
        <v>6.6433284662142471</v>
      </c>
      <c r="R91" s="47">
        <f t="shared" si="22"/>
        <v>11.159918609395152</v>
      </c>
      <c r="S91" s="48">
        <f t="shared" si="21"/>
        <v>0.59528466996358353</v>
      </c>
    </row>
    <row r="92" spans="15:19" x14ac:dyDescent="0.25">
      <c r="O92" s="54"/>
      <c r="P92" s="45">
        <f t="shared" si="20"/>
        <v>0.59528443970748746</v>
      </c>
      <c r="Q92" s="47">
        <v>6.6433284662142471</v>
      </c>
      <c r="R92" s="47">
        <f t="shared" si="22"/>
        <v>11.159918609395152</v>
      </c>
      <c r="S92" s="48">
        <f t="shared" si="21"/>
        <v>0.59528466996358353</v>
      </c>
    </row>
    <row r="93" spans="15:19" x14ac:dyDescent="0.25">
      <c r="O93" s="54"/>
      <c r="P93" s="45">
        <f t="shared" si="20"/>
        <v>0.12188656976171418</v>
      </c>
      <c r="Q93" s="47">
        <v>1.3602452420986628</v>
      </c>
      <c r="R93" s="47">
        <f t="shared" si="22"/>
        <v>11.159918609395152</v>
      </c>
      <c r="S93" s="48">
        <f t="shared" si="21"/>
        <v>0.12188666330895273</v>
      </c>
    </row>
    <row r="94" spans="15:19" x14ac:dyDescent="0.25">
      <c r="O94" s="54"/>
      <c r="P94" s="45">
        <f t="shared" si="20"/>
        <v>8.881273995489733E-2</v>
      </c>
      <c r="Q94" s="47">
        <v>0.9911432320296889</v>
      </c>
      <c r="R94" s="47">
        <f t="shared" si="22"/>
        <v>11.159918609395152</v>
      </c>
      <c r="S94" s="48">
        <f t="shared" si="21"/>
        <v>8.8812765282649947E-2</v>
      </c>
    </row>
    <row r="95" spans="15:19" x14ac:dyDescent="0.25">
      <c r="O95" s="54"/>
      <c r="P95" s="45">
        <f t="shared" si="20"/>
        <v>0.59528443970748746</v>
      </c>
      <c r="Q95" s="47">
        <v>6.6433284662142471</v>
      </c>
      <c r="R95" s="47">
        <f t="shared" si="22"/>
        <v>11.159918609395152</v>
      </c>
      <c r="S95" s="48">
        <f t="shared" si="21"/>
        <v>0.59528466996358353</v>
      </c>
    </row>
    <row r="96" spans="15:19" x14ac:dyDescent="0.25">
      <c r="O96" s="54"/>
      <c r="P96" s="45">
        <f t="shared" si="20"/>
        <v>1</v>
      </c>
      <c r="Q96" s="47">
        <v>11.159918609395152</v>
      </c>
      <c r="R96" s="47">
        <f t="shared" si="22"/>
        <v>11.159918609395152</v>
      </c>
      <c r="S96" s="48">
        <f t="shared" si="21"/>
        <v>1</v>
      </c>
    </row>
    <row r="97" spans="15:19" x14ac:dyDescent="0.25">
      <c r="O97" s="55"/>
      <c r="P97" s="56">
        <f t="shared" si="20"/>
        <v>0.12188656976171418</v>
      </c>
      <c r="Q97" s="49">
        <v>1.3602452420986628</v>
      </c>
      <c r="R97" s="49">
        <f t="shared" si="22"/>
        <v>11.159918609395152</v>
      </c>
      <c r="S97" s="50">
        <f t="shared" si="21"/>
        <v>0.12188666330895273</v>
      </c>
    </row>
    <row r="98" spans="15:19" x14ac:dyDescent="0.25">
      <c r="O98" s="46" t="s">
        <v>137</v>
      </c>
      <c r="P98" s="52" t="s">
        <v>133</v>
      </c>
      <c r="Q98" s="52" t="s">
        <v>135</v>
      </c>
      <c r="R98" s="52" t="s">
        <v>134</v>
      </c>
      <c r="S98" s="53" t="s">
        <v>136</v>
      </c>
    </row>
    <row r="99" spans="15:19" x14ac:dyDescent="0.25">
      <c r="O99" s="44">
        <f>O87+1</f>
        <v>9</v>
      </c>
      <c r="P99" s="45">
        <f t="shared" ref="P99:P109" si="23">S87</f>
        <v>0.35379135761003405</v>
      </c>
      <c r="Q99" s="47">
        <f t="array" ref="Q99:Q109">MMULT($C$3:$M$13,P99:P109)</f>
        <v>3.9482848563472319</v>
      </c>
      <c r="R99" s="47">
        <f>LARGE(Q99:Q109,1)</f>
        <v>11.159924161982023</v>
      </c>
      <c r="S99" s="48">
        <f>Q99/R99</f>
        <v>0.3537913698193097</v>
      </c>
    </row>
    <row r="100" spans="15:19" x14ac:dyDescent="0.25">
      <c r="O100" s="54"/>
      <c r="P100" s="45">
        <f t="shared" si="23"/>
        <v>0.35379135761003405</v>
      </c>
      <c r="Q100" s="47">
        <v>3.9482848563472319</v>
      </c>
      <c r="R100" s="47">
        <f>R99</f>
        <v>11.159924161982023</v>
      </c>
      <c r="S100" s="48">
        <f t="shared" ref="S100:S109" si="24">Q100/R100</f>
        <v>0.3537913698193097</v>
      </c>
    </row>
    <row r="101" spans="15:19" x14ac:dyDescent="0.25">
      <c r="O101" s="54"/>
      <c r="P101" s="45">
        <f t="shared" si="23"/>
        <v>0.59528466996358353</v>
      </c>
      <c r="Q101" s="47">
        <v>6.6433320050434812</v>
      </c>
      <c r="R101" s="47">
        <f>R100</f>
        <v>11.159924161982023</v>
      </c>
      <c r="S101" s="48">
        <f t="shared" si="24"/>
        <v>0.59528469088302594</v>
      </c>
    </row>
    <row r="102" spans="15:19" x14ac:dyDescent="0.25">
      <c r="O102" s="54"/>
      <c r="P102" s="45">
        <f t="shared" si="23"/>
        <v>0.59528466996358353</v>
      </c>
      <c r="Q102" s="47">
        <v>6.6433320050434812</v>
      </c>
      <c r="R102" s="47">
        <f t="shared" ref="R102:R109" si="25">R101</f>
        <v>11.159924161982023</v>
      </c>
      <c r="S102" s="48">
        <f t="shared" si="24"/>
        <v>0.59528469088302594</v>
      </c>
    </row>
    <row r="103" spans="15:19" x14ac:dyDescent="0.25">
      <c r="O103" s="54"/>
      <c r="P103" s="45">
        <f t="shared" si="23"/>
        <v>0.59528466996358353</v>
      </c>
      <c r="Q103" s="47">
        <v>6.6433320050434812</v>
      </c>
      <c r="R103" s="47">
        <f t="shared" si="25"/>
        <v>11.159924161982023</v>
      </c>
      <c r="S103" s="48">
        <f t="shared" si="24"/>
        <v>0.59528469088302594</v>
      </c>
    </row>
    <row r="104" spans="15:19" x14ac:dyDescent="0.25">
      <c r="O104" s="54"/>
      <c r="P104" s="45">
        <f t="shared" si="23"/>
        <v>0.59528466996358353</v>
      </c>
      <c r="Q104" s="47">
        <v>6.6433320050434812</v>
      </c>
      <c r="R104" s="47">
        <f t="shared" si="25"/>
        <v>11.159924161982023</v>
      </c>
      <c r="S104" s="48">
        <f t="shared" si="24"/>
        <v>0.59528469088302594</v>
      </c>
    </row>
    <row r="105" spans="15:19" x14ac:dyDescent="0.25">
      <c r="O105" s="54"/>
      <c r="P105" s="45">
        <f t="shared" si="23"/>
        <v>0.12188666330895273</v>
      </c>
      <c r="Q105" s="47">
        <v>1.360245872618473</v>
      </c>
      <c r="R105" s="47">
        <f t="shared" si="25"/>
        <v>11.159924161982023</v>
      </c>
      <c r="S105" s="48">
        <f t="shared" si="24"/>
        <v>0.12188665916318296</v>
      </c>
    </row>
    <row r="106" spans="15:19" x14ac:dyDescent="0.25">
      <c r="O106" s="54"/>
      <c r="P106" s="45">
        <f t="shared" si="23"/>
        <v>8.8812765282649947E-2</v>
      </c>
      <c r="Q106" s="47">
        <v>0.99114367279574533</v>
      </c>
      <c r="R106" s="47">
        <f t="shared" si="25"/>
        <v>11.159924161982023</v>
      </c>
      <c r="S106" s="48">
        <f t="shared" si="24"/>
        <v>8.88127605895591E-2</v>
      </c>
    </row>
    <row r="107" spans="15:19" x14ac:dyDescent="0.25">
      <c r="O107" s="54"/>
      <c r="P107" s="45">
        <f t="shared" si="23"/>
        <v>0.59528466996358353</v>
      </c>
      <c r="Q107" s="47">
        <v>6.6433320050434812</v>
      </c>
      <c r="R107" s="47">
        <f t="shared" si="25"/>
        <v>11.159924161982023</v>
      </c>
      <c r="S107" s="48">
        <f t="shared" si="24"/>
        <v>0.59528469088302594</v>
      </c>
    </row>
    <row r="108" spans="15:19" x14ac:dyDescent="0.25">
      <c r="O108" s="54"/>
      <c r="P108" s="45">
        <f t="shared" si="23"/>
        <v>1</v>
      </c>
      <c r="Q108" s="47">
        <v>11.159924161982023</v>
      </c>
      <c r="R108" s="47">
        <f t="shared" si="25"/>
        <v>11.159924161982023</v>
      </c>
      <c r="S108" s="48">
        <f t="shared" si="24"/>
        <v>1</v>
      </c>
    </row>
    <row r="109" spans="15:19" x14ac:dyDescent="0.25">
      <c r="O109" s="55"/>
      <c r="P109" s="56">
        <f t="shared" si="23"/>
        <v>0.12188666330895273</v>
      </c>
      <c r="Q109" s="49">
        <v>1.360245872618473</v>
      </c>
      <c r="R109" s="49">
        <f t="shared" si="25"/>
        <v>11.159924161982023</v>
      </c>
      <c r="S109" s="50">
        <f t="shared" si="24"/>
        <v>0.12188665916318296</v>
      </c>
    </row>
    <row r="110" spans="15:19" x14ac:dyDescent="0.25">
      <c r="O110" s="46" t="s">
        <v>137</v>
      </c>
      <c r="P110" s="52" t="s">
        <v>133</v>
      </c>
      <c r="Q110" s="52" t="s">
        <v>135</v>
      </c>
      <c r="R110" s="52" t="s">
        <v>134</v>
      </c>
      <c r="S110" s="53" t="s">
        <v>136</v>
      </c>
    </row>
    <row r="111" spans="15:19" x14ac:dyDescent="0.25">
      <c r="O111" s="44">
        <f>O99+1</f>
        <v>10</v>
      </c>
      <c r="P111" s="45">
        <f t="shared" ref="P111:P121" si="26">S99</f>
        <v>0.3537913698193097</v>
      </c>
      <c r="Q111" s="47">
        <f t="array" ref="Q111:Q121">MMULT($C$3:$M$13,P111:P121)</f>
        <v>3.9482848764327767</v>
      </c>
      <c r="R111" s="47">
        <f>LARGE(Q111:Q121,1)</f>
        <v>11.159924361831226</v>
      </c>
      <c r="S111" s="48">
        <f>Q111/R111</f>
        <v>0.35379136528349237</v>
      </c>
    </row>
    <row r="112" spans="15:19" x14ac:dyDescent="0.25">
      <c r="O112" s="54"/>
      <c r="P112" s="45">
        <f t="shared" si="26"/>
        <v>0.3537913698193097</v>
      </c>
      <c r="Q112" s="47">
        <v>3.9482848764327767</v>
      </c>
      <c r="R112" s="47">
        <f>R111</f>
        <v>11.159924361831226</v>
      </c>
      <c r="S112" s="48">
        <f t="shared" ref="S112:S121" si="27">Q112/R112</f>
        <v>0.35379136528349237</v>
      </c>
    </row>
    <row r="113" spans="15:19" x14ac:dyDescent="0.25">
      <c r="O113" s="54"/>
      <c r="P113" s="45">
        <f t="shared" si="26"/>
        <v>0.59528469088302594</v>
      </c>
      <c r="Q113" s="47">
        <v>6.6433320888615519</v>
      </c>
      <c r="R113" s="47">
        <f>R112</f>
        <v>11.159924361831226</v>
      </c>
      <c r="S113" s="48">
        <f t="shared" si="27"/>
        <v>0.59528468773344367</v>
      </c>
    </row>
    <row r="114" spans="15:19" x14ac:dyDescent="0.25">
      <c r="O114" s="54"/>
      <c r="P114" s="45">
        <f t="shared" si="26"/>
        <v>0.59528469088302594</v>
      </c>
      <c r="Q114" s="47">
        <v>6.6433320888615519</v>
      </c>
      <c r="R114" s="47">
        <f t="shared" ref="R114:R121" si="28">R113</f>
        <v>11.159924361831226</v>
      </c>
      <c r="S114" s="48">
        <f t="shared" si="27"/>
        <v>0.59528468773344367</v>
      </c>
    </row>
    <row r="115" spans="15:19" x14ac:dyDescent="0.25">
      <c r="O115" s="54"/>
      <c r="P115" s="45">
        <f t="shared" si="26"/>
        <v>0.59528469088302594</v>
      </c>
      <c r="Q115" s="47">
        <v>6.6433320888615519</v>
      </c>
      <c r="R115" s="47">
        <f t="shared" si="28"/>
        <v>11.159924361831226</v>
      </c>
      <c r="S115" s="48">
        <f t="shared" si="27"/>
        <v>0.59528468773344367</v>
      </c>
    </row>
    <row r="116" spans="15:19" x14ac:dyDescent="0.25">
      <c r="O116" s="54"/>
      <c r="P116" s="45">
        <f t="shared" si="26"/>
        <v>0.59528469088302594</v>
      </c>
      <c r="Q116" s="47">
        <v>6.6433320888615519</v>
      </c>
      <c r="R116" s="47">
        <f t="shared" si="28"/>
        <v>11.159924361831226</v>
      </c>
      <c r="S116" s="48">
        <f t="shared" si="27"/>
        <v>0.59528468773344367</v>
      </c>
    </row>
    <row r="117" spans="15:19" x14ac:dyDescent="0.25">
      <c r="O117" s="54"/>
      <c r="P117" s="45">
        <f t="shared" si="26"/>
        <v>0.12188665916318296</v>
      </c>
      <c r="Q117" s="47">
        <v>1.3602458819648315</v>
      </c>
      <c r="R117" s="47">
        <f t="shared" si="28"/>
        <v>11.159924361831226</v>
      </c>
      <c r="S117" s="48">
        <f t="shared" si="27"/>
        <v>0.12188665781795939</v>
      </c>
    </row>
    <row r="118" spans="15:19" x14ac:dyDescent="0.25">
      <c r="O118" s="54"/>
      <c r="P118" s="45">
        <f t="shared" si="26"/>
        <v>8.88127605895591E-2</v>
      </c>
      <c r="Q118" s="47">
        <v>0.99114368627346361</v>
      </c>
      <c r="R118" s="47">
        <f t="shared" si="28"/>
        <v>11.159924361831226</v>
      </c>
      <c r="S118" s="48">
        <f t="shared" si="27"/>
        <v>8.8812760206810878E-2</v>
      </c>
    </row>
    <row r="119" spans="15:19" x14ac:dyDescent="0.25">
      <c r="O119" s="54"/>
      <c r="P119" s="45">
        <f t="shared" si="26"/>
        <v>0.59528469088302594</v>
      </c>
      <c r="Q119" s="47">
        <v>6.6433320888615519</v>
      </c>
      <c r="R119" s="47">
        <f t="shared" si="28"/>
        <v>11.159924361831226</v>
      </c>
      <c r="S119" s="48">
        <f t="shared" si="27"/>
        <v>0.59528468773344367</v>
      </c>
    </row>
    <row r="120" spans="15:19" x14ac:dyDescent="0.25">
      <c r="O120" s="54"/>
      <c r="P120" s="45">
        <f t="shared" si="26"/>
        <v>1</v>
      </c>
      <c r="Q120" s="47">
        <v>11.159924361831226</v>
      </c>
      <c r="R120" s="47">
        <f t="shared" si="28"/>
        <v>11.159924361831226</v>
      </c>
      <c r="S120" s="48">
        <f t="shared" si="27"/>
        <v>1</v>
      </c>
    </row>
    <row r="121" spans="15:19" x14ac:dyDescent="0.25">
      <c r="O121" s="55"/>
      <c r="P121" s="56">
        <f t="shared" si="26"/>
        <v>0.12188665916318296</v>
      </c>
      <c r="Q121" s="49">
        <v>1.3602458819648315</v>
      </c>
      <c r="R121" s="49">
        <f t="shared" si="28"/>
        <v>11.159924361831226</v>
      </c>
      <c r="S121" s="50">
        <f t="shared" si="27"/>
        <v>0.12188665781795939</v>
      </c>
    </row>
  </sheetData>
  <mergeCells count="1">
    <mergeCell ref="C18:D18"/>
  </mergeCells>
  <hyperlinks>
    <hyperlink ref="B22" r:id="rId1"/>
    <hyperlink ref="B23" r:id="rId2"/>
    <hyperlink ref="B24" r:id="rId3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4"/>
  <drawing r:id="rId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2:O30"/>
  <sheetViews>
    <sheetView workbookViewId="0">
      <selection activeCell="B3" sqref="B3"/>
    </sheetView>
  </sheetViews>
  <sheetFormatPr defaultRowHeight="15" x14ac:dyDescent="0.25"/>
  <cols>
    <col min="2" max="2" width="7.42578125" bestFit="1" customWidth="1"/>
    <col min="3" max="3" width="5.5703125" bestFit="1" customWidth="1"/>
    <col min="4" max="4" width="4.85546875" bestFit="1" customWidth="1"/>
    <col min="5" max="6" width="5.140625" bestFit="1" customWidth="1"/>
    <col min="7" max="7" width="5.42578125" customWidth="1"/>
    <col min="8" max="8" width="6.7109375" bestFit="1" customWidth="1"/>
    <col min="9" max="9" width="6.85546875" bestFit="1" customWidth="1"/>
    <col min="10" max="11" width="7.42578125" bestFit="1" customWidth="1"/>
    <col min="12" max="12" width="7.28515625" bestFit="1" customWidth="1"/>
    <col min="13" max="13" width="5.5703125" bestFit="1" customWidth="1"/>
    <col min="14" max="14" width="5.42578125" customWidth="1"/>
  </cols>
  <sheetData>
    <row r="2" spans="1:15" x14ac:dyDescent="0.25">
      <c r="B2" s="36">
        <f>'AHP consistencia'!B2</f>
        <v>0</v>
      </c>
      <c r="C2" s="36" t="str">
        <f>'AHP consistencia'!C2</f>
        <v>Vasa</v>
      </c>
      <c r="D2" s="36" t="str">
        <f>'AHP consistencia'!D2</f>
        <v>Vasr</v>
      </c>
      <c r="E2" s="36" t="str">
        <f>'AHP consistencia'!E2</f>
        <v>SF36</v>
      </c>
      <c r="F2" s="36" t="str">
        <f>'AHP consistencia'!F2</f>
        <v>SF M</v>
      </c>
      <c r="G2" s="36" t="str">
        <f>'AHP consistencia'!G2</f>
        <v>SF F</v>
      </c>
      <c r="H2" s="36" t="str">
        <f>'AHP consistencia'!H2</f>
        <v>ODI</v>
      </c>
      <c r="I2" s="36" t="str">
        <f>'AHP consistencia'!I2</f>
        <v>HAD D</v>
      </c>
      <c r="J2" s="36" t="str">
        <f>'AHP consistencia'!J2</f>
        <v>HAD A</v>
      </c>
      <c r="K2" s="36" t="str">
        <f>'AHP consistencia'!K2</f>
        <v>Prolo</v>
      </c>
      <c r="L2" s="36" t="str">
        <f>'AHP consistencia'!L2</f>
        <v>Sats</v>
      </c>
      <c r="M2" s="36" t="str">
        <f>'AHP consistencia'!M2</f>
        <v>BDI</v>
      </c>
      <c r="N2" s="67"/>
    </row>
    <row r="3" spans="1:15" x14ac:dyDescent="0.25">
      <c r="B3" s="36" t="str">
        <f>'AHP consistencia'!B3</f>
        <v>Vasa</v>
      </c>
      <c r="C3" s="36">
        <f>'AHP consistencia'!C3</f>
        <v>1</v>
      </c>
      <c r="D3" s="36">
        <f>'AHP consistencia'!D3</f>
        <v>1</v>
      </c>
      <c r="E3" s="36">
        <f>'AHP consistencia'!E3</f>
        <v>0.5</v>
      </c>
      <c r="F3" s="36">
        <f>'AHP consistencia'!F3</f>
        <v>0.5</v>
      </c>
      <c r="G3" s="36">
        <f>'AHP consistencia'!G3</f>
        <v>0.5</v>
      </c>
      <c r="H3" s="36">
        <f>'AHP consistencia'!H3</f>
        <v>0.5</v>
      </c>
      <c r="I3" s="36">
        <f>'AHP consistencia'!I3</f>
        <v>4</v>
      </c>
      <c r="J3" s="36">
        <f>'AHP consistencia'!J3</f>
        <v>5</v>
      </c>
      <c r="K3" s="36">
        <f>'AHP consistencia'!K3</f>
        <v>0.5</v>
      </c>
      <c r="L3" s="36">
        <f>'AHP consistencia'!L3</f>
        <v>0.33333333333333331</v>
      </c>
      <c r="M3" s="36">
        <f>'AHP consistencia'!M3</f>
        <v>4</v>
      </c>
      <c r="N3" s="67"/>
    </row>
    <row r="4" spans="1:15" x14ac:dyDescent="0.25">
      <c r="B4" s="36" t="str">
        <f>'AHP consistencia'!B4</f>
        <v>Vasr</v>
      </c>
      <c r="C4" s="36">
        <f>'AHP consistencia'!C4</f>
        <v>1</v>
      </c>
      <c r="D4" s="36">
        <f>'AHP consistencia'!D4</f>
        <v>1</v>
      </c>
      <c r="E4" s="36">
        <f>'AHP consistencia'!E4</f>
        <v>0.5</v>
      </c>
      <c r="F4" s="36">
        <f>'AHP consistencia'!F4</f>
        <v>0.5</v>
      </c>
      <c r="G4" s="36">
        <f>'AHP consistencia'!G4</f>
        <v>0.5</v>
      </c>
      <c r="H4" s="36">
        <f>'AHP consistencia'!H4</f>
        <v>0.5</v>
      </c>
      <c r="I4" s="36">
        <f>'AHP consistencia'!I4</f>
        <v>4</v>
      </c>
      <c r="J4" s="36">
        <f>'AHP consistencia'!J4</f>
        <v>5</v>
      </c>
      <c r="K4" s="36">
        <f>'AHP consistencia'!K4</f>
        <v>0.5</v>
      </c>
      <c r="L4" s="36">
        <f>'AHP consistencia'!L4</f>
        <v>0.33333333333333331</v>
      </c>
      <c r="M4" s="36">
        <f>'AHP consistencia'!M4</f>
        <v>4</v>
      </c>
      <c r="N4" s="67"/>
    </row>
    <row r="5" spans="1:15" x14ac:dyDescent="0.25">
      <c r="B5" s="36" t="str">
        <f>'AHP consistencia'!B5</f>
        <v>SF36</v>
      </c>
      <c r="C5" s="36">
        <f>'AHP consistencia'!C5</f>
        <v>2</v>
      </c>
      <c r="D5" s="36">
        <f>'AHP consistencia'!D5</f>
        <v>2</v>
      </c>
      <c r="E5" s="36">
        <f>'AHP consistencia'!E5</f>
        <v>1</v>
      </c>
      <c r="F5" s="36">
        <f>'AHP consistencia'!F5</f>
        <v>1</v>
      </c>
      <c r="G5" s="36">
        <f>'AHP consistencia'!G5</f>
        <v>1</v>
      </c>
      <c r="H5" s="36">
        <f>'AHP consistencia'!H5</f>
        <v>1</v>
      </c>
      <c r="I5" s="36">
        <f>'AHP consistencia'!I5</f>
        <v>5</v>
      </c>
      <c r="J5" s="36">
        <f>'AHP consistencia'!J5</f>
        <v>6</v>
      </c>
      <c r="K5" s="36">
        <f>'AHP consistencia'!K5</f>
        <v>1</v>
      </c>
      <c r="L5" s="36">
        <f>'AHP consistencia'!L5</f>
        <v>0.5</v>
      </c>
      <c r="M5" s="36">
        <f>'AHP consistencia'!M5</f>
        <v>5</v>
      </c>
      <c r="N5" s="67"/>
    </row>
    <row r="6" spans="1:15" x14ac:dyDescent="0.25">
      <c r="B6" s="36" t="str">
        <f>'AHP consistencia'!B6</f>
        <v>SF M</v>
      </c>
      <c r="C6" s="36">
        <f>'AHP consistencia'!C6</f>
        <v>2</v>
      </c>
      <c r="D6" s="36">
        <f>'AHP consistencia'!D6</f>
        <v>2</v>
      </c>
      <c r="E6" s="36">
        <f>'AHP consistencia'!E6</f>
        <v>1</v>
      </c>
      <c r="F6" s="36">
        <f>'AHP consistencia'!F6</f>
        <v>1</v>
      </c>
      <c r="G6" s="36">
        <f>'AHP consistencia'!G6</f>
        <v>1</v>
      </c>
      <c r="H6" s="36">
        <f>'AHP consistencia'!H6</f>
        <v>1</v>
      </c>
      <c r="I6" s="36">
        <f>'AHP consistencia'!I6</f>
        <v>5</v>
      </c>
      <c r="J6" s="36">
        <f>'AHP consistencia'!J6</f>
        <v>6</v>
      </c>
      <c r="K6" s="36">
        <f>'AHP consistencia'!K6</f>
        <v>1</v>
      </c>
      <c r="L6" s="36">
        <f>'AHP consistencia'!L6</f>
        <v>0.5</v>
      </c>
      <c r="M6" s="36">
        <f>'AHP consistencia'!M6</f>
        <v>5</v>
      </c>
      <c r="N6" s="67"/>
    </row>
    <row r="7" spans="1:15" x14ac:dyDescent="0.25">
      <c r="B7" s="36" t="str">
        <f>'AHP consistencia'!B7</f>
        <v>SF F</v>
      </c>
      <c r="C7" s="36">
        <f>'AHP consistencia'!C7</f>
        <v>2</v>
      </c>
      <c r="D7" s="36">
        <f>'AHP consistencia'!D7</f>
        <v>2</v>
      </c>
      <c r="E7" s="36">
        <f>'AHP consistencia'!E7</f>
        <v>1</v>
      </c>
      <c r="F7" s="36">
        <f>'AHP consistencia'!F7</f>
        <v>1</v>
      </c>
      <c r="G7" s="36">
        <f>'AHP consistencia'!G7</f>
        <v>1</v>
      </c>
      <c r="H7" s="36">
        <f>'AHP consistencia'!H7</f>
        <v>1</v>
      </c>
      <c r="I7" s="36">
        <f>'AHP consistencia'!I7</f>
        <v>5</v>
      </c>
      <c r="J7" s="36">
        <f>'AHP consistencia'!J7</f>
        <v>6</v>
      </c>
      <c r="K7" s="36">
        <f>'AHP consistencia'!K7</f>
        <v>1</v>
      </c>
      <c r="L7" s="36">
        <f>'AHP consistencia'!L7</f>
        <v>0.5</v>
      </c>
      <c r="M7" s="36">
        <f>'AHP consistencia'!M7</f>
        <v>5</v>
      </c>
      <c r="N7" s="67"/>
    </row>
    <row r="8" spans="1:15" x14ac:dyDescent="0.25">
      <c r="B8" s="36" t="str">
        <f>'AHP consistencia'!B8</f>
        <v>ODI</v>
      </c>
      <c r="C8" s="36">
        <f>'AHP consistencia'!C8</f>
        <v>2</v>
      </c>
      <c r="D8" s="36">
        <f>'AHP consistencia'!D8</f>
        <v>2</v>
      </c>
      <c r="E8" s="36">
        <f>'AHP consistencia'!E8</f>
        <v>1</v>
      </c>
      <c r="F8" s="36">
        <f>'AHP consistencia'!F8</f>
        <v>1</v>
      </c>
      <c r="G8" s="36">
        <f>'AHP consistencia'!G8</f>
        <v>1</v>
      </c>
      <c r="H8" s="36">
        <f>'AHP consistencia'!H8</f>
        <v>1</v>
      </c>
      <c r="I8" s="36">
        <f>'AHP consistencia'!I8</f>
        <v>5</v>
      </c>
      <c r="J8" s="36">
        <f>'AHP consistencia'!J8</f>
        <v>6</v>
      </c>
      <c r="K8" s="36">
        <f>'AHP consistencia'!K8</f>
        <v>1</v>
      </c>
      <c r="L8" s="36">
        <f>'AHP consistencia'!L8</f>
        <v>0.5</v>
      </c>
      <c r="M8" s="36">
        <f>'AHP consistencia'!M8</f>
        <v>5</v>
      </c>
      <c r="N8" s="67"/>
    </row>
    <row r="9" spans="1:15" x14ac:dyDescent="0.25">
      <c r="B9" s="36" t="str">
        <f>'AHP consistencia'!B9</f>
        <v>HAD D</v>
      </c>
      <c r="C9" s="36">
        <f>'AHP consistencia'!C9</f>
        <v>0.25</v>
      </c>
      <c r="D9" s="36">
        <f>'AHP consistencia'!D9</f>
        <v>0.25</v>
      </c>
      <c r="E9" s="36">
        <f>'AHP consistencia'!E9</f>
        <v>0.2</v>
      </c>
      <c r="F9" s="36">
        <f>'AHP consistencia'!F9</f>
        <v>0.2</v>
      </c>
      <c r="G9" s="36">
        <f>'AHP consistencia'!G9</f>
        <v>0.2</v>
      </c>
      <c r="H9" s="36">
        <f>'AHP consistencia'!H9</f>
        <v>0.2</v>
      </c>
      <c r="I9" s="36">
        <f>'AHP consistencia'!I9</f>
        <v>1</v>
      </c>
      <c r="J9" s="36">
        <f>'AHP consistencia'!J9</f>
        <v>2</v>
      </c>
      <c r="K9" s="36">
        <f>'AHP consistencia'!K9</f>
        <v>0.2</v>
      </c>
      <c r="L9" s="36">
        <f>'AHP consistencia'!L9</f>
        <v>0.16666666666666666</v>
      </c>
      <c r="M9" s="36">
        <f>'AHP consistencia'!M9</f>
        <v>1</v>
      </c>
      <c r="N9" s="67"/>
    </row>
    <row r="10" spans="1:15" x14ac:dyDescent="0.25">
      <c r="B10" s="36" t="str">
        <f>'AHP consistencia'!B10</f>
        <v>HAD A</v>
      </c>
      <c r="C10" s="36">
        <f>'AHP consistencia'!C10</f>
        <v>0.2</v>
      </c>
      <c r="D10" s="36">
        <f>'AHP consistencia'!D10</f>
        <v>0.2</v>
      </c>
      <c r="E10" s="36">
        <f>'AHP consistencia'!E10</f>
        <v>0.16666666666666666</v>
      </c>
      <c r="F10" s="36">
        <f>'AHP consistencia'!F10</f>
        <v>0.16666666666666666</v>
      </c>
      <c r="G10" s="36">
        <f>'AHP consistencia'!G10</f>
        <v>0.16666666666666666</v>
      </c>
      <c r="H10" s="36">
        <f>'AHP consistencia'!H10</f>
        <v>0.16666666666666666</v>
      </c>
      <c r="I10" s="36">
        <f>'AHP consistencia'!I10</f>
        <v>0.5</v>
      </c>
      <c r="J10" s="36">
        <f>'AHP consistencia'!J10</f>
        <v>1</v>
      </c>
      <c r="K10" s="36">
        <f>'AHP consistencia'!K10</f>
        <v>0.16666666666666666</v>
      </c>
      <c r="L10" s="36">
        <f>'AHP consistencia'!L10</f>
        <v>0.14285714285714285</v>
      </c>
      <c r="M10" s="36">
        <f>'AHP consistencia'!M10</f>
        <v>0.5</v>
      </c>
      <c r="N10" s="67"/>
    </row>
    <row r="11" spans="1:15" x14ac:dyDescent="0.25">
      <c r="B11" s="36" t="str">
        <f>'AHP consistencia'!B11</f>
        <v>Prolo</v>
      </c>
      <c r="C11" s="36">
        <f>'AHP consistencia'!C11</f>
        <v>2</v>
      </c>
      <c r="D11" s="36">
        <f>'AHP consistencia'!D11</f>
        <v>2</v>
      </c>
      <c r="E11" s="36">
        <f>'AHP consistencia'!E11</f>
        <v>1</v>
      </c>
      <c r="F11" s="36">
        <f>'AHP consistencia'!F11</f>
        <v>1</v>
      </c>
      <c r="G11" s="36">
        <f>'AHP consistencia'!G11</f>
        <v>1</v>
      </c>
      <c r="H11" s="36">
        <f>'AHP consistencia'!H11</f>
        <v>1</v>
      </c>
      <c r="I11" s="36">
        <f>'AHP consistencia'!I11</f>
        <v>5</v>
      </c>
      <c r="J11" s="36">
        <f>'AHP consistencia'!J11</f>
        <v>6</v>
      </c>
      <c r="K11" s="36">
        <f>'AHP consistencia'!K11</f>
        <v>1</v>
      </c>
      <c r="L11" s="36">
        <f>'AHP consistencia'!L11</f>
        <v>0.5</v>
      </c>
      <c r="M11" s="36">
        <f>'AHP consistencia'!M11</f>
        <v>5</v>
      </c>
      <c r="N11" s="67"/>
    </row>
    <row r="12" spans="1:15" x14ac:dyDescent="0.25">
      <c r="B12" s="36" t="str">
        <f>'AHP consistencia'!B12</f>
        <v>Sats</v>
      </c>
      <c r="C12" s="36">
        <f>'AHP consistencia'!C12</f>
        <v>3</v>
      </c>
      <c r="D12" s="36">
        <f>'AHP consistencia'!D12</f>
        <v>3</v>
      </c>
      <c r="E12" s="36">
        <f>'AHP consistencia'!E12</f>
        <v>2</v>
      </c>
      <c r="F12" s="36">
        <f>'AHP consistencia'!F12</f>
        <v>2</v>
      </c>
      <c r="G12" s="36">
        <f>'AHP consistencia'!G12</f>
        <v>2</v>
      </c>
      <c r="H12" s="36">
        <f>'AHP consistencia'!H12</f>
        <v>2</v>
      </c>
      <c r="I12" s="36">
        <f>'AHP consistencia'!I12</f>
        <v>6</v>
      </c>
      <c r="J12" s="36">
        <f>'AHP consistencia'!J12</f>
        <v>7</v>
      </c>
      <c r="K12" s="36">
        <f>'AHP consistencia'!K12</f>
        <v>2</v>
      </c>
      <c r="L12" s="36">
        <f>'AHP consistencia'!L12</f>
        <v>1</v>
      </c>
      <c r="M12" s="36">
        <f>'AHP consistencia'!M12</f>
        <v>6</v>
      </c>
      <c r="N12" s="67"/>
    </row>
    <row r="13" spans="1:15" x14ac:dyDescent="0.25">
      <c r="B13" s="36" t="str">
        <f>'AHP consistencia'!B13</f>
        <v>BDI</v>
      </c>
      <c r="C13" s="36">
        <f>'AHP consistencia'!C13</f>
        <v>0.25</v>
      </c>
      <c r="D13" s="36">
        <f>'AHP consistencia'!D13</f>
        <v>0.25</v>
      </c>
      <c r="E13" s="36">
        <f>'AHP consistencia'!E13</f>
        <v>0.2</v>
      </c>
      <c r="F13" s="36">
        <f>'AHP consistencia'!F13</f>
        <v>0.2</v>
      </c>
      <c r="G13" s="36">
        <f>'AHP consistencia'!G13</f>
        <v>0.2</v>
      </c>
      <c r="H13" s="36">
        <f>'AHP consistencia'!H13</f>
        <v>0.2</v>
      </c>
      <c r="I13" s="36">
        <f>'AHP consistencia'!I13</f>
        <v>1</v>
      </c>
      <c r="J13" s="36">
        <f>'AHP consistencia'!J13</f>
        <v>2</v>
      </c>
      <c r="K13" s="36">
        <f>'AHP consistencia'!K13</f>
        <v>0.2</v>
      </c>
      <c r="L13" s="36">
        <f>'AHP consistencia'!L13</f>
        <v>0.16666666666666666</v>
      </c>
      <c r="M13" s="36">
        <f>'AHP consistencia'!M13</f>
        <v>1</v>
      </c>
      <c r="N13" s="67"/>
    </row>
    <row r="14" spans="1:15" ht="14.25" customHeight="1" x14ac:dyDescent="0.25">
      <c r="B14" s="57" t="s">
        <v>143</v>
      </c>
      <c r="C14" s="58">
        <f t="shared" ref="C14:M14" si="0">SUM(C3:C13)</f>
        <v>15.7</v>
      </c>
      <c r="D14" s="58">
        <f t="shared" si="0"/>
        <v>15.7</v>
      </c>
      <c r="E14" s="58">
        <f t="shared" si="0"/>
        <v>8.5666666666666664</v>
      </c>
      <c r="F14" s="58">
        <f t="shared" si="0"/>
        <v>8.5666666666666664</v>
      </c>
      <c r="G14" s="58">
        <f t="shared" si="0"/>
        <v>8.5666666666666664</v>
      </c>
      <c r="H14" s="58">
        <f t="shared" si="0"/>
        <v>8.5666666666666664</v>
      </c>
      <c r="I14" s="58">
        <f t="shared" si="0"/>
        <v>41.5</v>
      </c>
      <c r="J14" s="58">
        <f t="shared" si="0"/>
        <v>52</v>
      </c>
      <c r="K14" s="58">
        <f t="shared" si="0"/>
        <v>8.5666666666666664</v>
      </c>
      <c r="L14" s="58">
        <f t="shared" si="0"/>
        <v>4.6428571428571432</v>
      </c>
      <c r="M14" s="58">
        <f t="shared" si="0"/>
        <v>41.5</v>
      </c>
      <c r="N14" s="58"/>
    </row>
    <row r="15" spans="1:15" x14ac:dyDescent="0.25">
      <c r="B15" s="51"/>
      <c r="C15" s="45"/>
    </row>
    <row r="16" spans="1:15" x14ac:dyDescent="0.25">
      <c r="A16" t="s">
        <v>144</v>
      </c>
      <c r="B16" s="36">
        <f t="shared" ref="B16:M16" si="1">B2</f>
        <v>0</v>
      </c>
      <c r="C16" s="36" t="str">
        <f t="shared" si="1"/>
        <v>Vasa</v>
      </c>
      <c r="D16" s="36" t="str">
        <f t="shared" si="1"/>
        <v>Vasr</v>
      </c>
      <c r="E16" s="36" t="str">
        <f t="shared" si="1"/>
        <v>SF36</v>
      </c>
      <c r="F16" s="36" t="str">
        <f t="shared" si="1"/>
        <v>SF M</v>
      </c>
      <c r="G16" s="36" t="str">
        <f t="shared" si="1"/>
        <v>SF F</v>
      </c>
      <c r="H16" s="36" t="str">
        <f t="shared" si="1"/>
        <v>ODI</v>
      </c>
      <c r="I16" s="36" t="str">
        <f t="shared" si="1"/>
        <v>HAD D</v>
      </c>
      <c r="J16" s="36" t="str">
        <f t="shared" si="1"/>
        <v>HAD A</v>
      </c>
      <c r="K16" s="36" t="str">
        <f t="shared" si="1"/>
        <v>Prolo</v>
      </c>
      <c r="L16" s="36" t="str">
        <f t="shared" si="1"/>
        <v>Sats</v>
      </c>
      <c r="M16" s="36" t="str">
        <f t="shared" si="1"/>
        <v>BDI</v>
      </c>
      <c r="O16" s="61" t="s">
        <v>145</v>
      </c>
    </row>
    <row r="17" spans="2:15" x14ac:dyDescent="0.25">
      <c r="B17" s="36" t="str">
        <f t="shared" ref="B17:B27" si="2">B3</f>
        <v>Vasa</v>
      </c>
      <c r="C17" s="60">
        <f t="shared" ref="C17:M17" si="3">C3/C$14</f>
        <v>6.3694267515923567E-2</v>
      </c>
      <c r="D17" s="60">
        <f t="shared" si="3"/>
        <v>6.3694267515923567E-2</v>
      </c>
      <c r="E17" s="60">
        <f t="shared" si="3"/>
        <v>5.8365758754863814E-2</v>
      </c>
      <c r="F17" s="60">
        <f t="shared" si="3"/>
        <v>5.8365758754863814E-2</v>
      </c>
      <c r="G17" s="60">
        <f t="shared" si="3"/>
        <v>5.8365758754863814E-2</v>
      </c>
      <c r="H17" s="60">
        <f t="shared" si="3"/>
        <v>5.8365758754863814E-2</v>
      </c>
      <c r="I17" s="60">
        <f t="shared" si="3"/>
        <v>9.6385542168674704E-2</v>
      </c>
      <c r="J17" s="60">
        <f t="shared" si="3"/>
        <v>9.6153846153846159E-2</v>
      </c>
      <c r="K17" s="60">
        <f t="shared" si="3"/>
        <v>5.8365758754863814E-2</v>
      </c>
      <c r="L17" s="60">
        <f t="shared" si="3"/>
        <v>7.179487179487179E-2</v>
      </c>
      <c r="M17" s="60">
        <f t="shared" si="3"/>
        <v>9.6385542168674704E-2</v>
      </c>
      <c r="O17" s="59">
        <f t="shared" ref="O17:O27" si="4">AVERAGE(C17:M17)</f>
        <v>7.0903375553839409E-2</v>
      </c>
    </row>
    <row r="18" spans="2:15" x14ac:dyDescent="0.25">
      <c r="B18" s="36" t="str">
        <f t="shared" si="2"/>
        <v>Vasr</v>
      </c>
      <c r="C18" s="60">
        <f t="shared" ref="C18:M18" si="5">C4/C$14</f>
        <v>6.3694267515923567E-2</v>
      </c>
      <c r="D18" s="60">
        <f t="shared" si="5"/>
        <v>6.3694267515923567E-2</v>
      </c>
      <c r="E18" s="60">
        <f t="shared" si="5"/>
        <v>5.8365758754863814E-2</v>
      </c>
      <c r="F18" s="60">
        <f t="shared" si="5"/>
        <v>5.8365758754863814E-2</v>
      </c>
      <c r="G18" s="60">
        <f t="shared" si="5"/>
        <v>5.8365758754863814E-2</v>
      </c>
      <c r="H18" s="60">
        <f t="shared" si="5"/>
        <v>5.8365758754863814E-2</v>
      </c>
      <c r="I18" s="60">
        <f t="shared" si="5"/>
        <v>9.6385542168674704E-2</v>
      </c>
      <c r="J18" s="60">
        <f t="shared" si="5"/>
        <v>9.6153846153846159E-2</v>
      </c>
      <c r="K18" s="60">
        <f t="shared" si="5"/>
        <v>5.8365758754863814E-2</v>
      </c>
      <c r="L18" s="60">
        <f t="shared" si="5"/>
        <v>7.179487179487179E-2</v>
      </c>
      <c r="M18" s="60">
        <f t="shared" si="5"/>
        <v>9.6385542168674704E-2</v>
      </c>
      <c r="N18" s="42"/>
      <c r="O18" s="59">
        <f t="shared" si="4"/>
        <v>7.0903375553839409E-2</v>
      </c>
    </row>
    <row r="19" spans="2:15" ht="15.75" customHeight="1" x14ac:dyDescent="0.25">
      <c r="B19" s="36" t="str">
        <f t="shared" si="2"/>
        <v>SF36</v>
      </c>
      <c r="C19" s="60">
        <f t="shared" ref="C19:M19" si="6">C5/C$14</f>
        <v>0.12738853503184713</v>
      </c>
      <c r="D19" s="60">
        <f t="shared" si="6"/>
        <v>0.12738853503184713</v>
      </c>
      <c r="E19" s="60">
        <f t="shared" si="6"/>
        <v>0.11673151750972763</v>
      </c>
      <c r="F19" s="60">
        <f t="shared" si="6"/>
        <v>0.11673151750972763</v>
      </c>
      <c r="G19" s="60">
        <f t="shared" si="6"/>
        <v>0.11673151750972763</v>
      </c>
      <c r="H19" s="60">
        <f t="shared" si="6"/>
        <v>0.11673151750972763</v>
      </c>
      <c r="I19" s="60">
        <f t="shared" si="6"/>
        <v>0.12048192771084337</v>
      </c>
      <c r="J19" s="60">
        <f t="shared" si="6"/>
        <v>0.11538461538461539</v>
      </c>
      <c r="K19" s="60">
        <f t="shared" si="6"/>
        <v>0.11673151750972763</v>
      </c>
      <c r="L19" s="60">
        <f t="shared" si="6"/>
        <v>0.10769230769230768</v>
      </c>
      <c r="M19" s="60">
        <f t="shared" si="6"/>
        <v>0.12048192771084337</v>
      </c>
      <c r="O19" s="59">
        <f t="shared" si="4"/>
        <v>0.11840685782826749</v>
      </c>
    </row>
    <row r="20" spans="2:15" x14ac:dyDescent="0.25">
      <c r="B20" s="36" t="str">
        <f t="shared" si="2"/>
        <v>SF M</v>
      </c>
      <c r="C20" s="60">
        <f t="shared" ref="C20:M20" si="7">C6/C$14</f>
        <v>0.12738853503184713</v>
      </c>
      <c r="D20" s="60">
        <f t="shared" si="7"/>
        <v>0.12738853503184713</v>
      </c>
      <c r="E20" s="60">
        <f t="shared" si="7"/>
        <v>0.11673151750972763</v>
      </c>
      <c r="F20" s="60">
        <f t="shared" si="7"/>
        <v>0.11673151750972763</v>
      </c>
      <c r="G20" s="60">
        <f t="shared" si="7"/>
        <v>0.11673151750972763</v>
      </c>
      <c r="H20" s="60">
        <f t="shared" si="7"/>
        <v>0.11673151750972763</v>
      </c>
      <c r="I20" s="60">
        <f t="shared" si="7"/>
        <v>0.12048192771084337</v>
      </c>
      <c r="J20" s="60">
        <f t="shared" si="7"/>
        <v>0.11538461538461539</v>
      </c>
      <c r="K20" s="60">
        <f t="shared" si="7"/>
        <v>0.11673151750972763</v>
      </c>
      <c r="L20" s="60">
        <f t="shared" si="7"/>
        <v>0.10769230769230768</v>
      </c>
      <c r="M20" s="60">
        <f t="shared" si="7"/>
        <v>0.12048192771084337</v>
      </c>
      <c r="O20" s="59">
        <f t="shared" si="4"/>
        <v>0.11840685782826749</v>
      </c>
    </row>
    <row r="21" spans="2:15" x14ac:dyDescent="0.25">
      <c r="B21" s="36" t="str">
        <f t="shared" si="2"/>
        <v>SF F</v>
      </c>
      <c r="C21" s="60">
        <f t="shared" ref="C21:M21" si="8">C7/C$14</f>
        <v>0.12738853503184713</v>
      </c>
      <c r="D21" s="60">
        <f t="shared" si="8"/>
        <v>0.12738853503184713</v>
      </c>
      <c r="E21" s="60">
        <f t="shared" si="8"/>
        <v>0.11673151750972763</v>
      </c>
      <c r="F21" s="60">
        <f t="shared" si="8"/>
        <v>0.11673151750972763</v>
      </c>
      <c r="G21" s="60">
        <f t="shared" si="8"/>
        <v>0.11673151750972763</v>
      </c>
      <c r="H21" s="60">
        <f t="shared" si="8"/>
        <v>0.11673151750972763</v>
      </c>
      <c r="I21" s="60">
        <f t="shared" si="8"/>
        <v>0.12048192771084337</v>
      </c>
      <c r="J21" s="60">
        <f t="shared" si="8"/>
        <v>0.11538461538461539</v>
      </c>
      <c r="K21" s="60">
        <f t="shared" si="8"/>
        <v>0.11673151750972763</v>
      </c>
      <c r="L21" s="60">
        <f t="shared" si="8"/>
        <v>0.10769230769230768</v>
      </c>
      <c r="M21" s="60">
        <f t="shared" si="8"/>
        <v>0.12048192771084337</v>
      </c>
      <c r="O21" s="59">
        <f t="shared" si="4"/>
        <v>0.11840685782826749</v>
      </c>
    </row>
    <row r="22" spans="2:15" x14ac:dyDescent="0.25">
      <c r="B22" s="36" t="str">
        <f t="shared" si="2"/>
        <v>ODI</v>
      </c>
      <c r="C22" s="60">
        <f t="shared" ref="C22:M22" si="9">C8/C$14</f>
        <v>0.12738853503184713</v>
      </c>
      <c r="D22" s="60">
        <f t="shared" si="9"/>
        <v>0.12738853503184713</v>
      </c>
      <c r="E22" s="60">
        <f t="shared" si="9"/>
        <v>0.11673151750972763</v>
      </c>
      <c r="F22" s="60">
        <f t="shared" si="9"/>
        <v>0.11673151750972763</v>
      </c>
      <c r="G22" s="60">
        <f t="shared" si="9"/>
        <v>0.11673151750972763</v>
      </c>
      <c r="H22" s="60">
        <f t="shared" si="9"/>
        <v>0.11673151750972763</v>
      </c>
      <c r="I22" s="60">
        <f t="shared" si="9"/>
        <v>0.12048192771084337</v>
      </c>
      <c r="J22" s="60">
        <f t="shared" si="9"/>
        <v>0.11538461538461539</v>
      </c>
      <c r="K22" s="60">
        <f t="shared" si="9"/>
        <v>0.11673151750972763</v>
      </c>
      <c r="L22" s="60">
        <f t="shared" si="9"/>
        <v>0.10769230769230768</v>
      </c>
      <c r="M22" s="60">
        <f t="shared" si="9"/>
        <v>0.12048192771084337</v>
      </c>
      <c r="O22" s="59">
        <f t="shared" si="4"/>
        <v>0.11840685782826749</v>
      </c>
    </row>
    <row r="23" spans="2:15" x14ac:dyDescent="0.25">
      <c r="B23" s="36" t="str">
        <f t="shared" si="2"/>
        <v>HAD D</v>
      </c>
      <c r="C23" s="60">
        <f t="shared" ref="C23:M23" si="10">C9/C$14</f>
        <v>1.5923566878980892E-2</v>
      </c>
      <c r="D23" s="60">
        <f t="shared" si="10"/>
        <v>1.5923566878980892E-2</v>
      </c>
      <c r="E23" s="60">
        <f t="shared" si="10"/>
        <v>2.3346303501945526E-2</v>
      </c>
      <c r="F23" s="60">
        <f t="shared" si="10"/>
        <v>2.3346303501945526E-2</v>
      </c>
      <c r="G23" s="60">
        <f t="shared" si="10"/>
        <v>2.3346303501945526E-2</v>
      </c>
      <c r="H23" s="60">
        <f t="shared" si="10"/>
        <v>2.3346303501945526E-2</v>
      </c>
      <c r="I23" s="60">
        <f t="shared" si="10"/>
        <v>2.4096385542168676E-2</v>
      </c>
      <c r="J23" s="60">
        <f t="shared" si="10"/>
        <v>3.8461538461538464E-2</v>
      </c>
      <c r="K23" s="60">
        <f t="shared" si="10"/>
        <v>2.3346303501945526E-2</v>
      </c>
      <c r="L23" s="60">
        <f t="shared" si="10"/>
        <v>3.5897435897435895E-2</v>
      </c>
      <c r="M23" s="60">
        <f t="shared" si="10"/>
        <v>2.4096385542168676E-2</v>
      </c>
      <c r="O23" s="59">
        <f t="shared" si="4"/>
        <v>2.4648217882818287E-2</v>
      </c>
    </row>
    <row r="24" spans="2:15" x14ac:dyDescent="0.25">
      <c r="B24" s="36" t="str">
        <f t="shared" si="2"/>
        <v>HAD A</v>
      </c>
      <c r="C24" s="60">
        <f t="shared" ref="C24:M24" si="11">C10/C$14</f>
        <v>1.2738853503184714E-2</v>
      </c>
      <c r="D24" s="60">
        <f t="shared" si="11"/>
        <v>1.2738853503184714E-2</v>
      </c>
      <c r="E24" s="60">
        <f t="shared" si="11"/>
        <v>1.9455252918287938E-2</v>
      </c>
      <c r="F24" s="60">
        <f t="shared" si="11"/>
        <v>1.9455252918287938E-2</v>
      </c>
      <c r="G24" s="60">
        <f t="shared" si="11"/>
        <v>1.9455252918287938E-2</v>
      </c>
      <c r="H24" s="60">
        <f t="shared" si="11"/>
        <v>1.9455252918287938E-2</v>
      </c>
      <c r="I24" s="60">
        <f t="shared" si="11"/>
        <v>1.2048192771084338E-2</v>
      </c>
      <c r="J24" s="60">
        <f t="shared" si="11"/>
        <v>1.9230769230769232E-2</v>
      </c>
      <c r="K24" s="60">
        <f t="shared" si="11"/>
        <v>1.9455252918287938E-2</v>
      </c>
      <c r="L24" s="60">
        <f t="shared" si="11"/>
        <v>3.0769230769230764E-2</v>
      </c>
      <c r="M24" s="60">
        <f t="shared" si="11"/>
        <v>1.2048192771084338E-2</v>
      </c>
      <c r="O24" s="59">
        <f t="shared" si="4"/>
        <v>1.7895487012725256E-2</v>
      </c>
    </row>
    <row r="25" spans="2:15" x14ac:dyDescent="0.25">
      <c r="B25" s="36" t="str">
        <f t="shared" si="2"/>
        <v>Prolo</v>
      </c>
      <c r="C25" s="60">
        <f t="shared" ref="C25:M25" si="12">C11/C$14</f>
        <v>0.12738853503184713</v>
      </c>
      <c r="D25" s="60">
        <f t="shared" si="12"/>
        <v>0.12738853503184713</v>
      </c>
      <c r="E25" s="60">
        <f t="shared" si="12"/>
        <v>0.11673151750972763</v>
      </c>
      <c r="F25" s="60">
        <f t="shared" si="12"/>
        <v>0.11673151750972763</v>
      </c>
      <c r="G25" s="60">
        <f t="shared" si="12"/>
        <v>0.11673151750972763</v>
      </c>
      <c r="H25" s="60">
        <f t="shared" si="12"/>
        <v>0.11673151750972763</v>
      </c>
      <c r="I25" s="60">
        <f t="shared" si="12"/>
        <v>0.12048192771084337</v>
      </c>
      <c r="J25" s="60">
        <f t="shared" si="12"/>
        <v>0.11538461538461539</v>
      </c>
      <c r="K25" s="60">
        <f t="shared" si="12"/>
        <v>0.11673151750972763</v>
      </c>
      <c r="L25" s="60">
        <f t="shared" si="12"/>
        <v>0.10769230769230768</v>
      </c>
      <c r="M25" s="60">
        <f t="shared" si="12"/>
        <v>0.12048192771084337</v>
      </c>
      <c r="O25" s="59">
        <f t="shared" si="4"/>
        <v>0.11840685782826749</v>
      </c>
    </row>
    <row r="26" spans="2:15" x14ac:dyDescent="0.25">
      <c r="B26" s="36" t="str">
        <f t="shared" si="2"/>
        <v>Sats</v>
      </c>
      <c r="C26" s="60">
        <f t="shared" ref="C26:M26" si="13">C12/C$14</f>
        <v>0.19108280254777071</v>
      </c>
      <c r="D26" s="60">
        <f t="shared" si="13"/>
        <v>0.19108280254777071</v>
      </c>
      <c r="E26" s="60">
        <f t="shared" si="13"/>
        <v>0.23346303501945526</v>
      </c>
      <c r="F26" s="60">
        <f t="shared" si="13"/>
        <v>0.23346303501945526</v>
      </c>
      <c r="G26" s="60">
        <f t="shared" si="13"/>
        <v>0.23346303501945526</v>
      </c>
      <c r="H26" s="60">
        <f t="shared" si="13"/>
        <v>0.23346303501945526</v>
      </c>
      <c r="I26" s="60">
        <f t="shared" si="13"/>
        <v>0.14457831325301204</v>
      </c>
      <c r="J26" s="60">
        <f t="shared" si="13"/>
        <v>0.13461538461538461</v>
      </c>
      <c r="K26" s="60">
        <f t="shared" si="13"/>
        <v>0.23346303501945526</v>
      </c>
      <c r="L26" s="60">
        <f t="shared" si="13"/>
        <v>0.21538461538461537</v>
      </c>
      <c r="M26" s="60">
        <f t="shared" si="13"/>
        <v>0.14457831325301204</v>
      </c>
      <c r="O26" s="59">
        <f t="shared" si="4"/>
        <v>0.198967036972622</v>
      </c>
    </row>
    <row r="27" spans="2:15" x14ac:dyDescent="0.25">
      <c r="B27" s="36" t="str">
        <f t="shared" si="2"/>
        <v>BDI</v>
      </c>
      <c r="C27" s="60">
        <f t="shared" ref="C27:M27" si="14">C13/C$14</f>
        <v>1.5923566878980892E-2</v>
      </c>
      <c r="D27" s="60">
        <f t="shared" si="14"/>
        <v>1.5923566878980892E-2</v>
      </c>
      <c r="E27" s="60">
        <f t="shared" si="14"/>
        <v>2.3346303501945526E-2</v>
      </c>
      <c r="F27" s="60">
        <f t="shared" si="14"/>
        <v>2.3346303501945526E-2</v>
      </c>
      <c r="G27" s="60">
        <f t="shared" si="14"/>
        <v>2.3346303501945526E-2</v>
      </c>
      <c r="H27" s="60">
        <f t="shared" si="14"/>
        <v>2.3346303501945526E-2</v>
      </c>
      <c r="I27" s="60">
        <f t="shared" si="14"/>
        <v>2.4096385542168676E-2</v>
      </c>
      <c r="J27" s="60">
        <f t="shared" si="14"/>
        <v>3.8461538461538464E-2</v>
      </c>
      <c r="K27" s="60">
        <f t="shared" si="14"/>
        <v>2.3346303501945526E-2</v>
      </c>
      <c r="L27" s="60">
        <f t="shared" si="14"/>
        <v>3.5897435897435895E-2</v>
      </c>
      <c r="M27" s="60">
        <f t="shared" si="14"/>
        <v>2.4096385542168676E-2</v>
      </c>
      <c r="O27" s="59">
        <f t="shared" si="4"/>
        <v>2.4648217882818287E-2</v>
      </c>
    </row>
    <row r="28" spans="2:15" x14ac:dyDescent="0.25">
      <c r="O28" s="41"/>
    </row>
    <row r="29" spans="2:15" x14ac:dyDescent="0.25">
      <c r="B29" s="62" t="s">
        <v>104</v>
      </c>
      <c r="C29" s="62" t="s">
        <v>104</v>
      </c>
      <c r="D29" s="62" t="s">
        <v>2</v>
      </c>
      <c r="E29" s="62" t="s">
        <v>105</v>
      </c>
      <c r="F29" s="62" t="s">
        <v>106</v>
      </c>
      <c r="G29" s="62" t="s">
        <v>13</v>
      </c>
      <c r="H29" s="62" t="s">
        <v>14</v>
      </c>
      <c r="I29" s="62" t="s">
        <v>15</v>
      </c>
      <c r="J29" s="62" t="s">
        <v>154</v>
      </c>
      <c r="K29" s="62" t="s">
        <v>155</v>
      </c>
      <c r="L29" s="62" t="s">
        <v>9</v>
      </c>
    </row>
    <row r="30" spans="2:15" x14ac:dyDescent="0.25">
      <c r="B30" s="63">
        <f>O17</f>
        <v>7.0903375553839409E-2</v>
      </c>
      <c r="C30" s="63">
        <f>O18</f>
        <v>7.0903375553839409E-2</v>
      </c>
      <c r="D30" s="63">
        <f>O19</f>
        <v>0.11840685782826749</v>
      </c>
      <c r="E30" s="63">
        <f>O20</f>
        <v>0.11840685782826749</v>
      </c>
      <c r="F30" s="63">
        <f>O21</f>
        <v>0.11840685782826749</v>
      </c>
      <c r="G30" s="63">
        <f>O22</f>
        <v>0.11840685782826749</v>
      </c>
      <c r="H30" s="63">
        <f>O23</f>
        <v>2.4648217882818287E-2</v>
      </c>
      <c r="I30" s="63">
        <f>O24</f>
        <v>1.7895487012725256E-2</v>
      </c>
      <c r="J30" s="63">
        <f>O25</f>
        <v>0.11840685782826749</v>
      </c>
      <c r="K30" s="63">
        <f>O26</f>
        <v>0.198967036972622</v>
      </c>
      <c r="L30" s="63">
        <f>O27</f>
        <v>2.4648217882818287E-2</v>
      </c>
      <c r="M30" s="41"/>
    </row>
  </sheetData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1:N60"/>
  <sheetViews>
    <sheetView workbookViewId="0">
      <selection activeCell="G6" sqref="C2:G6"/>
    </sheetView>
  </sheetViews>
  <sheetFormatPr defaultRowHeight="15" x14ac:dyDescent="0.25"/>
  <cols>
    <col min="1" max="1" width="1.28515625" customWidth="1"/>
    <col min="2" max="2" width="26.42578125" bestFit="1" customWidth="1"/>
    <col min="3" max="3" width="9.28515625" customWidth="1"/>
    <col min="4" max="14" width="7.85546875" customWidth="1"/>
  </cols>
  <sheetData>
    <row r="1" spans="2:13" ht="3.75" customHeight="1" x14ac:dyDescent="0.25"/>
    <row r="2" spans="2:13" x14ac:dyDescent="0.25">
      <c r="C2" s="227" t="s">
        <v>215</v>
      </c>
      <c r="D2" s="227"/>
      <c r="E2" s="227"/>
      <c r="F2" s="227"/>
      <c r="G2" s="227"/>
    </row>
    <row r="3" spans="2:13" x14ac:dyDescent="0.25">
      <c r="C3" s="32" t="s">
        <v>212</v>
      </c>
      <c r="D3" s="32" t="s">
        <v>213</v>
      </c>
      <c r="E3" s="32" t="s">
        <v>214</v>
      </c>
      <c r="F3" s="32" t="s">
        <v>60</v>
      </c>
      <c r="G3" s="32" t="s">
        <v>211</v>
      </c>
    </row>
    <row r="4" spans="2:13" x14ac:dyDescent="0.25">
      <c r="C4" s="88">
        <v>0.15</v>
      </c>
      <c r="D4" s="88">
        <v>0.15</v>
      </c>
      <c r="E4" s="88">
        <v>0.35</v>
      </c>
      <c r="F4" s="92">
        <v>0.3</v>
      </c>
      <c r="G4" s="92">
        <v>0.05</v>
      </c>
    </row>
    <row r="5" spans="2:13" x14ac:dyDescent="0.25">
      <c r="C5" s="32"/>
      <c r="D5" s="32"/>
      <c r="E5" s="32"/>
      <c r="F5" s="92">
        <v>0.8</v>
      </c>
      <c r="G5" s="92">
        <v>0.2</v>
      </c>
    </row>
    <row r="6" spans="2:13" x14ac:dyDescent="0.25">
      <c r="C6" s="32"/>
      <c r="D6" s="32"/>
      <c r="E6" s="32"/>
      <c r="F6" s="32"/>
      <c r="G6" s="92">
        <v>1</v>
      </c>
    </row>
    <row r="12" spans="2:13" x14ac:dyDescent="0.25">
      <c r="B12" s="87" t="s">
        <v>200</v>
      </c>
      <c r="C12" s="32" t="str">
        <f>'AHP PM'!B29</f>
        <v>VAS</v>
      </c>
      <c r="D12" s="32" t="str">
        <f>'AHP PM'!C29</f>
        <v>VAS</v>
      </c>
      <c r="E12" s="32" t="str">
        <f>'AHP PM'!D29</f>
        <v>SF36</v>
      </c>
      <c r="F12" s="32" t="str">
        <f>'AHP PM'!E29</f>
        <v>SF M</v>
      </c>
      <c r="G12" s="32" t="str">
        <f>'AHP PM'!F29</f>
        <v>SF F</v>
      </c>
      <c r="H12" s="32" t="str">
        <f>'AHP PM'!G29</f>
        <v>ODI</v>
      </c>
      <c r="I12" s="32" t="str">
        <f>'AHP PM'!H29</f>
        <v>HAD D</v>
      </c>
      <c r="J12" s="32" t="str">
        <f>'AHP PM'!I29</f>
        <v>HAD A</v>
      </c>
      <c r="K12" s="32" t="str">
        <f>'AHP PM'!J29</f>
        <v>PROLO</v>
      </c>
      <c r="L12" s="32" t="str">
        <f>'AHP PM'!K29</f>
        <v>SATS</v>
      </c>
      <c r="M12" s="32" t="str">
        <f>'AHP PM'!L29</f>
        <v>BDI</v>
      </c>
    </row>
    <row r="13" spans="2:13" x14ac:dyDescent="0.25">
      <c r="C13" s="82">
        <f>'AHP PM'!B30</f>
        <v>7.0903375553839409E-2</v>
      </c>
      <c r="D13" s="82">
        <f>'AHP PM'!C30</f>
        <v>7.0903375553839409E-2</v>
      </c>
      <c r="E13" s="82">
        <f>'AHP PM'!D30</f>
        <v>0.11840685782826749</v>
      </c>
      <c r="F13" s="82">
        <f>'AHP PM'!E30</f>
        <v>0.11840685782826749</v>
      </c>
      <c r="G13" s="82">
        <f>'AHP PM'!F30</f>
        <v>0.11840685782826749</v>
      </c>
      <c r="H13" s="82">
        <f>'AHP PM'!G30</f>
        <v>0.11840685782826749</v>
      </c>
      <c r="I13" s="82">
        <f>'AHP PM'!H30</f>
        <v>2.4648217882818287E-2</v>
      </c>
      <c r="J13" s="82">
        <f>'AHP PM'!I30</f>
        <v>1.7895487012725256E-2</v>
      </c>
      <c r="K13" s="82">
        <f>'AHP PM'!J30</f>
        <v>0.11840685782826749</v>
      </c>
      <c r="L13" s="82">
        <f>'AHP PM'!K30</f>
        <v>0.198967036972622</v>
      </c>
      <c r="M13" s="82">
        <f>'AHP PM'!L30</f>
        <v>2.4648217882818287E-2</v>
      </c>
    </row>
    <row r="15" spans="2:13" x14ac:dyDescent="0.25">
      <c r="B15" s="3" t="s">
        <v>201</v>
      </c>
      <c r="C15" s="32" t="s">
        <v>202</v>
      </c>
      <c r="D15" s="32" t="s">
        <v>203</v>
      </c>
      <c r="E15" s="32" t="s">
        <v>2</v>
      </c>
      <c r="F15" s="32" t="s">
        <v>105</v>
      </c>
      <c r="G15" s="32" t="s">
        <v>106</v>
      </c>
      <c r="H15" s="32" t="s">
        <v>13</v>
      </c>
      <c r="I15" s="32" t="s">
        <v>14</v>
      </c>
      <c r="J15" s="32" t="s">
        <v>15</v>
      </c>
      <c r="K15" s="32" t="s">
        <v>9</v>
      </c>
    </row>
    <row r="16" spans="2:13" x14ac:dyDescent="0.25">
      <c r="B16" s="6" t="s">
        <v>91</v>
      </c>
      <c r="C16" s="83">
        <f>Probabilidades!C5</f>
        <v>1</v>
      </c>
      <c r="D16" s="83">
        <f>Probabilidades!D5</f>
        <v>1</v>
      </c>
      <c r="E16" s="83">
        <f>Probabilidades!E5</f>
        <v>0.45652173913043481</v>
      </c>
      <c r="F16" s="83">
        <f>Probabilidades!F5</f>
        <v>0.43243243243243246</v>
      </c>
      <c r="G16" s="83">
        <f>Probabilidades!G5</f>
        <v>0.39583333333333331</v>
      </c>
      <c r="H16" s="83">
        <f>Probabilidades!H5</f>
        <v>0.76470588235294124</v>
      </c>
      <c r="I16" s="83">
        <f>Probabilidades!I5</f>
        <v>0.66666666666666663</v>
      </c>
      <c r="J16" s="83">
        <f>Probabilidades!J5</f>
        <v>0.56521739130434778</v>
      </c>
      <c r="K16" s="83">
        <f>Probabilidades!K5</f>
        <v>1</v>
      </c>
    </row>
    <row r="17" spans="2:13" x14ac:dyDescent="0.25">
      <c r="B17" s="6" t="s">
        <v>92</v>
      </c>
      <c r="C17" s="83">
        <f>Probabilidades!C6</f>
        <v>0</v>
      </c>
      <c r="D17" s="83">
        <f>Probabilidades!D6</f>
        <v>0</v>
      </c>
      <c r="E17" s="83">
        <f>Probabilidades!E6</f>
        <v>0.54347826086956519</v>
      </c>
      <c r="F17" s="83">
        <f>Probabilidades!F6</f>
        <v>0.56756756756756754</v>
      </c>
      <c r="G17" s="83">
        <f>Probabilidades!G6</f>
        <v>0.5625</v>
      </c>
      <c r="H17" s="83">
        <f>Probabilidades!H6</f>
        <v>0.20588235294117646</v>
      </c>
      <c r="I17" s="83">
        <f>Probabilidades!I6</f>
        <v>0.33333333333333331</v>
      </c>
      <c r="J17" s="83">
        <f>Probabilidades!J6</f>
        <v>0.13043478260869565</v>
      </c>
      <c r="K17" s="83">
        <f>Probabilidades!K6</f>
        <v>0</v>
      </c>
    </row>
    <row r="18" spans="2:13" x14ac:dyDescent="0.25">
      <c r="B18" s="6" t="s">
        <v>93</v>
      </c>
      <c r="C18" s="83">
        <f>Probabilidades!C7</f>
        <v>0</v>
      </c>
      <c r="D18" s="83">
        <f>Probabilidades!D7</f>
        <v>0</v>
      </c>
      <c r="E18" s="83">
        <f>Probabilidades!E7</f>
        <v>0</v>
      </c>
      <c r="F18" s="83">
        <f>Probabilidades!F7</f>
        <v>0</v>
      </c>
      <c r="G18" s="83">
        <f>Probabilidades!G7</f>
        <v>4.1666666666666664E-2</v>
      </c>
      <c r="H18" s="83">
        <f>Probabilidades!H7</f>
        <v>2.9411764705882353E-2</v>
      </c>
      <c r="I18" s="83">
        <f>Probabilidades!I7</f>
        <v>0</v>
      </c>
      <c r="J18" s="83">
        <f>Probabilidades!J7</f>
        <v>0.30434782608695654</v>
      </c>
      <c r="K18" s="83">
        <f>Probabilidades!K7</f>
        <v>0</v>
      </c>
    </row>
    <row r="19" spans="2:13" x14ac:dyDescent="0.25">
      <c r="B19" s="6" t="s">
        <v>96</v>
      </c>
      <c r="C19" s="83">
        <f>Probabilidades!C9</f>
        <v>1</v>
      </c>
      <c r="D19" s="83">
        <f>Probabilidades!D9</f>
        <v>1</v>
      </c>
      <c r="E19" s="83">
        <f>Probabilidades!E9</f>
        <v>0.71739130434782605</v>
      </c>
      <c r="F19" s="83">
        <f>Probabilidades!F9</f>
        <v>0.72972972972972983</v>
      </c>
      <c r="G19" s="83">
        <f>Probabilidades!G9</f>
        <v>0.83333333333333337</v>
      </c>
      <c r="H19" s="83">
        <f>Probabilidades!H9</f>
        <v>0.79411764705882359</v>
      </c>
      <c r="I19" s="83">
        <f>Probabilidades!I9</f>
        <v>0.88888888888888884</v>
      </c>
      <c r="J19" s="83">
        <f>Probabilidades!J9</f>
        <v>0.69565217391304346</v>
      </c>
      <c r="K19" s="83">
        <f>Probabilidades!K9</f>
        <v>1</v>
      </c>
    </row>
    <row r="20" spans="2:13" x14ac:dyDescent="0.25">
      <c r="B20" s="6" t="s">
        <v>95</v>
      </c>
      <c r="C20" s="83">
        <f>Probabilidades!C10</f>
        <v>0</v>
      </c>
      <c r="D20" s="83">
        <f>Probabilidades!D10</f>
        <v>0</v>
      </c>
      <c r="E20" s="83">
        <f>Probabilidades!E10</f>
        <v>0.28260869565217389</v>
      </c>
      <c r="F20" s="83">
        <f>Probabilidades!F10</f>
        <v>0.27027027027027029</v>
      </c>
      <c r="G20" s="83">
        <f>Probabilidades!G10</f>
        <v>0.125</v>
      </c>
      <c r="H20" s="83">
        <f>Probabilidades!H10</f>
        <v>0.20588235294117646</v>
      </c>
      <c r="I20" s="83">
        <f>Probabilidades!I10</f>
        <v>0.1111111111111111</v>
      </c>
      <c r="J20" s="83">
        <f>Probabilidades!J10</f>
        <v>0.17391304347826086</v>
      </c>
      <c r="K20" s="83">
        <f>Probabilidades!K10</f>
        <v>0</v>
      </c>
    </row>
    <row r="21" spans="2:13" x14ac:dyDescent="0.25">
      <c r="B21" s="6" t="s">
        <v>94</v>
      </c>
      <c r="C21" s="83">
        <f>Probabilidades!C11</f>
        <v>0</v>
      </c>
      <c r="D21" s="83">
        <f>Probabilidades!D11</f>
        <v>0</v>
      </c>
      <c r="E21" s="83">
        <f>Probabilidades!E11</f>
        <v>0</v>
      </c>
      <c r="F21" s="83">
        <f>Probabilidades!F11</f>
        <v>0</v>
      </c>
      <c r="G21" s="83">
        <f>Probabilidades!G11</f>
        <v>4.1666666666666664E-2</v>
      </c>
      <c r="H21" s="83">
        <f>Probabilidades!H11</f>
        <v>0</v>
      </c>
      <c r="I21" s="83">
        <f>Probabilidades!I11</f>
        <v>0</v>
      </c>
      <c r="J21" s="83">
        <f>Probabilidades!J11</f>
        <v>0.13043478260869565</v>
      </c>
      <c r="K21" s="83">
        <f>Probabilidades!K11</f>
        <v>0</v>
      </c>
    </row>
    <row r="22" spans="2:13" x14ac:dyDescent="0.25">
      <c r="B22" s="6" t="s">
        <v>171</v>
      </c>
      <c r="C22" s="84">
        <f>Probabilidades!C13</f>
        <v>1</v>
      </c>
      <c r="D22" s="84">
        <f>Probabilidades!D13</f>
        <v>1</v>
      </c>
    </row>
    <row r="23" spans="2:13" x14ac:dyDescent="0.25">
      <c r="B23" s="6" t="s">
        <v>174</v>
      </c>
      <c r="C23" s="83">
        <f>Probabilidades!C14</f>
        <v>0</v>
      </c>
      <c r="D23" s="83">
        <f>Probabilidades!D14</f>
        <v>0</v>
      </c>
      <c r="F23" s="93" t="s">
        <v>204</v>
      </c>
      <c r="G23" s="81"/>
      <c r="H23" s="81"/>
    </row>
    <row r="24" spans="2:13" x14ac:dyDescent="0.25">
      <c r="B24" s="6" t="s">
        <v>173</v>
      </c>
      <c r="C24" s="83">
        <f>Probabilidades!C15</f>
        <v>0</v>
      </c>
      <c r="D24" s="83">
        <f>Probabilidades!D15</f>
        <v>0</v>
      </c>
      <c r="F24" s="81"/>
      <c r="G24" s="81" t="s">
        <v>155</v>
      </c>
      <c r="H24" s="81" t="s">
        <v>154</v>
      </c>
    </row>
    <row r="25" spans="2:13" x14ac:dyDescent="0.25">
      <c r="B25" s="6" t="s">
        <v>175</v>
      </c>
      <c r="C25" s="83">
        <f>Probabilidades!C17</f>
        <v>1</v>
      </c>
      <c r="D25" s="83">
        <f>Probabilidades!D17</f>
        <v>1</v>
      </c>
      <c r="F25" s="86" t="s">
        <v>205</v>
      </c>
      <c r="G25" s="83">
        <f>Probabilidades!I14</f>
        <v>5.9523809523809521E-3</v>
      </c>
      <c r="H25" s="83">
        <f>Probabilidades!N14</f>
        <v>3.048780487804878E-2</v>
      </c>
    </row>
    <row r="26" spans="2:13" x14ac:dyDescent="0.25">
      <c r="B26" s="6" t="s">
        <v>172</v>
      </c>
      <c r="C26" s="83">
        <f>Probabilidades!C18</f>
        <v>0</v>
      </c>
      <c r="D26" s="83">
        <f>Probabilidades!D18</f>
        <v>0</v>
      </c>
      <c r="F26" s="86" t="s">
        <v>206</v>
      </c>
      <c r="G26" s="83">
        <f>Probabilidades!I15</f>
        <v>0.11904761904761904</v>
      </c>
      <c r="H26" s="83">
        <f>Probabilidades!N15</f>
        <v>0.29878048780487804</v>
      </c>
    </row>
    <row r="27" spans="2:13" x14ac:dyDescent="0.25">
      <c r="B27" s="6" t="s">
        <v>176</v>
      </c>
      <c r="C27" s="83">
        <f>Probabilidades!C19</f>
        <v>0</v>
      </c>
      <c r="D27" s="83">
        <f>Probabilidades!D19</f>
        <v>0</v>
      </c>
      <c r="F27" s="86" t="s">
        <v>207</v>
      </c>
      <c r="G27" s="83">
        <f>Probabilidades!I16</f>
        <v>0.875</v>
      </c>
      <c r="H27" s="83">
        <f>Probabilidades!N16</f>
        <v>0.6707317073170731</v>
      </c>
    </row>
    <row r="28" spans="2:13" x14ac:dyDescent="0.25">
      <c r="B28" s="6" t="s">
        <v>177</v>
      </c>
      <c r="C28" s="83">
        <f>Probabilidades!C21</f>
        <v>1</v>
      </c>
      <c r="D28" s="83">
        <f>Probabilidades!D21</f>
        <v>1</v>
      </c>
      <c r="F28" s="86" t="s">
        <v>208</v>
      </c>
      <c r="G28" s="83">
        <f>Probabilidades!I18</f>
        <v>6.41025641025641E-3</v>
      </c>
      <c r="H28" s="83">
        <f>Probabilidades!N18</f>
        <v>6.4935064935064939E-3</v>
      </c>
    </row>
    <row r="29" spans="2:13" x14ac:dyDescent="0.25">
      <c r="B29" s="6" t="s">
        <v>178</v>
      </c>
      <c r="C29" s="83">
        <f>Probabilidades!C22</f>
        <v>0</v>
      </c>
      <c r="D29" s="83">
        <f>Probabilidades!D22</f>
        <v>0</v>
      </c>
      <c r="F29" s="86" t="s">
        <v>209</v>
      </c>
      <c r="G29" s="83">
        <f>Probabilidades!I19</f>
        <v>7.6923076923076927E-2</v>
      </c>
      <c r="H29" s="83">
        <f>Probabilidades!N19</f>
        <v>0.33766233766233766</v>
      </c>
    </row>
    <row r="30" spans="2:13" x14ac:dyDescent="0.25">
      <c r="B30" s="6" t="s">
        <v>179</v>
      </c>
      <c r="C30" s="83">
        <f>Probabilidades!C23</f>
        <v>0</v>
      </c>
      <c r="D30" s="83">
        <f>Probabilidades!D23</f>
        <v>0</v>
      </c>
      <c r="F30" s="86" t="s">
        <v>210</v>
      </c>
      <c r="G30" s="83">
        <f>Probabilidades!I20</f>
        <v>0.91666666666666663</v>
      </c>
      <c r="H30" s="83">
        <f>Probabilidades!N20</f>
        <v>0.6558441558441559</v>
      </c>
    </row>
    <row r="32" spans="2:13" x14ac:dyDescent="0.25">
      <c r="B32" s="86" t="s">
        <v>217</v>
      </c>
      <c r="C32" s="32" t="s">
        <v>202</v>
      </c>
      <c r="D32" s="32" t="s">
        <v>203</v>
      </c>
      <c r="E32" s="94" t="s">
        <v>2</v>
      </c>
      <c r="F32" s="32" t="s">
        <v>105</v>
      </c>
      <c r="G32" s="32" t="s">
        <v>106</v>
      </c>
      <c r="H32" s="32" t="s">
        <v>13</v>
      </c>
      <c r="I32" s="32" t="s">
        <v>14</v>
      </c>
      <c r="J32" s="32" t="s">
        <v>15</v>
      </c>
      <c r="K32" s="81" t="s">
        <v>155</v>
      </c>
      <c r="L32" s="81" t="s">
        <v>154</v>
      </c>
      <c r="M32" s="32" t="s">
        <v>9</v>
      </c>
    </row>
    <row r="33" spans="2:13" x14ac:dyDescent="0.25">
      <c r="B33" s="86" t="s">
        <v>211</v>
      </c>
      <c r="C33" s="83">
        <f>C16-C17-C18</f>
        <v>1</v>
      </c>
      <c r="D33" s="83">
        <f>D16-D17-D18</f>
        <v>1</v>
      </c>
      <c r="E33" s="95">
        <f>E16-E17-E18</f>
        <v>-8.6956521739130377E-2</v>
      </c>
      <c r="F33" s="83">
        <f t="shared" ref="F33:J33" si="0">F16-F17-F18</f>
        <v>-0.13513513513513509</v>
      </c>
      <c r="G33" s="83">
        <f t="shared" si="0"/>
        <v>-0.20833333333333334</v>
      </c>
      <c r="H33" s="83">
        <f t="shared" si="0"/>
        <v>0.52941176470588236</v>
      </c>
      <c r="I33" s="83">
        <f t="shared" si="0"/>
        <v>0.33333333333333331</v>
      </c>
      <c r="J33" s="83">
        <f t="shared" si="0"/>
        <v>0.13043478260869557</v>
      </c>
      <c r="K33" s="83">
        <f>G27-G26-G25</f>
        <v>0.75</v>
      </c>
      <c r="L33" s="83">
        <f>H27-H26-H25</f>
        <v>0.34146341463414631</v>
      </c>
      <c r="M33" s="83">
        <f>K16-K17-K18</f>
        <v>1</v>
      </c>
    </row>
    <row r="34" spans="2:13" x14ac:dyDescent="0.25">
      <c r="B34" s="86" t="s">
        <v>60</v>
      </c>
      <c r="C34" s="83">
        <f>C19-C20-C21</f>
        <v>1</v>
      </c>
      <c r="D34" s="83">
        <f>D19-D20-D21</f>
        <v>1</v>
      </c>
      <c r="E34" s="95">
        <f>E19-E20-E21</f>
        <v>0.43478260869565216</v>
      </c>
      <c r="F34" s="83">
        <f t="shared" ref="F34:J34" si="1">F19-F20-F21</f>
        <v>0.45945945945945954</v>
      </c>
      <c r="G34" s="83">
        <f t="shared" si="1"/>
        <v>0.66666666666666674</v>
      </c>
      <c r="H34" s="83">
        <f t="shared" si="1"/>
        <v>0.58823529411764719</v>
      </c>
      <c r="I34" s="83">
        <f t="shared" si="1"/>
        <v>0.77777777777777768</v>
      </c>
      <c r="J34" s="83">
        <f t="shared" si="1"/>
        <v>0.39130434782608692</v>
      </c>
      <c r="K34" s="83">
        <f>G30-G29-G28</f>
        <v>0.83333333333333326</v>
      </c>
      <c r="L34" s="83">
        <f>H30-H29-H28</f>
        <v>0.31168831168831174</v>
      </c>
      <c r="M34" s="83">
        <f>K19-K20-K21</f>
        <v>1</v>
      </c>
    </row>
    <row r="35" spans="2:13" x14ac:dyDescent="0.25">
      <c r="B35" s="86" t="s">
        <v>214</v>
      </c>
      <c r="C35" s="83">
        <f>C22-C23-C24</f>
        <v>1</v>
      </c>
      <c r="D35" s="83">
        <f>D22-D23-D24</f>
        <v>1</v>
      </c>
    </row>
    <row r="36" spans="2:13" x14ac:dyDescent="0.25">
      <c r="B36" s="86" t="s">
        <v>213</v>
      </c>
      <c r="C36" s="83">
        <f>C25-C26-C27</f>
        <v>1</v>
      </c>
      <c r="D36" s="83">
        <f>D25-D26-D27</f>
        <v>1</v>
      </c>
    </row>
    <row r="37" spans="2:13" x14ac:dyDescent="0.25">
      <c r="B37" s="86" t="s">
        <v>212</v>
      </c>
      <c r="C37" s="83">
        <f>C28-C29-C30</f>
        <v>1</v>
      </c>
      <c r="D37" s="83">
        <f>D28-D29-D30</f>
        <v>1</v>
      </c>
    </row>
    <row r="39" spans="2:13" x14ac:dyDescent="0.25">
      <c r="B39" s="87" t="s">
        <v>156</v>
      </c>
      <c r="C39" s="87" t="s">
        <v>202</v>
      </c>
      <c r="D39" s="87" t="s">
        <v>203</v>
      </c>
      <c r="E39" s="87" t="s">
        <v>2</v>
      </c>
      <c r="F39" s="87" t="s">
        <v>105</v>
      </c>
      <c r="G39" s="87" t="s">
        <v>106</v>
      </c>
      <c r="H39" s="87" t="s">
        <v>13</v>
      </c>
      <c r="I39" s="87" t="s">
        <v>14</v>
      </c>
      <c r="J39" s="87" t="s">
        <v>15</v>
      </c>
      <c r="K39" s="87" t="s">
        <v>155</v>
      </c>
      <c r="L39" s="87" t="s">
        <v>154</v>
      </c>
      <c r="M39" s="87" t="s">
        <v>9</v>
      </c>
    </row>
    <row r="40" spans="2:13" x14ac:dyDescent="0.25">
      <c r="B40" s="87" t="s">
        <v>216</v>
      </c>
      <c r="C40" s="96">
        <f>C33*G4+F4*C34+E4*C35+D4*C36+C4*C37</f>
        <v>1</v>
      </c>
      <c r="D40" s="96">
        <f>D33*G4+F4*D34+E4*D35+D4*D36+C4*D37</f>
        <v>1</v>
      </c>
      <c r="E40" s="96">
        <f t="shared" ref="E40:M40" si="2">E33*$G$5+E34*$F$5</f>
        <v>0.33043478260869563</v>
      </c>
      <c r="F40" s="96">
        <f t="shared" si="2"/>
        <v>0.34054054054054061</v>
      </c>
      <c r="G40" s="96">
        <f t="shared" si="2"/>
        <v>0.49166666666666675</v>
      </c>
      <c r="H40" s="96">
        <f t="shared" si="2"/>
        <v>0.57647058823529429</v>
      </c>
      <c r="I40" s="96">
        <f t="shared" si="2"/>
        <v>0.68888888888888888</v>
      </c>
      <c r="J40" s="96">
        <f t="shared" si="2"/>
        <v>0.33913043478260863</v>
      </c>
      <c r="K40" s="96">
        <f t="shared" si="2"/>
        <v>0.81666666666666665</v>
      </c>
      <c r="L40" s="96">
        <f t="shared" si="2"/>
        <v>0.31764333227747865</v>
      </c>
      <c r="M40" s="96">
        <f t="shared" si="2"/>
        <v>1</v>
      </c>
    </row>
    <row r="41" spans="2:13" x14ac:dyDescent="0.25"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</row>
    <row r="42" spans="2:13" x14ac:dyDescent="0.25">
      <c r="B42" s="87" t="s">
        <v>156</v>
      </c>
      <c r="C42" s="97" t="s">
        <v>202</v>
      </c>
      <c r="D42" s="97" t="s">
        <v>203</v>
      </c>
      <c r="E42" s="97" t="s">
        <v>2</v>
      </c>
      <c r="F42" s="97" t="s">
        <v>105</v>
      </c>
      <c r="G42" s="97" t="s">
        <v>106</v>
      </c>
      <c r="H42" s="97" t="s">
        <v>13</v>
      </c>
      <c r="I42" s="97" t="s">
        <v>14</v>
      </c>
      <c r="J42" s="97" t="s">
        <v>15</v>
      </c>
      <c r="K42" s="97" t="s">
        <v>155</v>
      </c>
      <c r="L42" s="97" t="s">
        <v>154</v>
      </c>
      <c r="M42" s="97" t="s">
        <v>9</v>
      </c>
    </row>
    <row r="43" spans="2:13" x14ac:dyDescent="0.25">
      <c r="B43" s="87" t="s">
        <v>218</v>
      </c>
      <c r="C43" s="96">
        <f>C13</f>
        <v>7.0903375553839409E-2</v>
      </c>
      <c r="D43" s="96">
        <f t="shared" ref="D43:M43" si="3">D13</f>
        <v>7.0903375553839409E-2</v>
      </c>
      <c r="E43" s="96">
        <f t="shared" si="3"/>
        <v>0.11840685782826749</v>
      </c>
      <c r="F43" s="96">
        <f t="shared" si="3"/>
        <v>0.11840685782826749</v>
      </c>
      <c r="G43" s="96">
        <f t="shared" si="3"/>
        <v>0.11840685782826749</v>
      </c>
      <c r="H43" s="96">
        <f t="shared" si="3"/>
        <v>0.11840685782826749</v>
      </c>
      <c r="I43" s="96">
        <f t="shared" si="3"/>
        <v>2.4648217882818287E-2</v>
      </c>
      <c r="J43" s="96">
        <f t="shared" si="3"/>
        <v>1.7895487012725256E-2</v>
      </c>
      <c r="K43" s="96">
        <f>L13</f>
        <v>0.198967036972622</v>
      </c>
      <c r="L43" s="96">
        <f>K13</f>
        <v>0.11840685782826749</v>
      </c>
      <c r="M43" s="96">
        <f t="shared" si="3"/>
        <v>2.4648217882818287E-2</v>
      </c>
    </row>
    <row r="45" spans="2:13" x14ac:dyDescent="0.25">
      <c r="B45" s="87" t="s">
        <v>219</v>
      </c>
      <c r="C45" s="96">
        <f>C40*C43</f>
        <v>7.0903375553839409E-2</v>
      </c>
      <c r="D45" s="96">
        <f t="shared" ref="D45:M45" si="4">D40*D43</f>
        <v>7.0903375553839409E-2</v>
      </c>
      <c r="E45" s="96">
        <f t="shared" si="4"/>
        <v>3.9125744325862299E-2</v>
      </c>
      <c r="F45" s="96">
        <f t="shared" si="4"/>
        <v>4.0322335368545154E-2</v>
      </c>
      <c r="G45" s="96">
        <f t="shared" si="4"/>
        <v>5.8216705098898189E-2</v>
      </c>
      <c r="H45" s="96">
        <f t="shared" si="4"/>
        <v>6.8258070983354222E-2</v>
      </c>
      <c r="I45" s="96">
        <f t="shared" si="4"/>
        <v>1.6979883430385929E-2</v>
      </c>
      <c r="J45" s="96">
        <f t="shared" si="4"/>
        <v>6.068904291272042E-3</v>
      </c>
      <c r="K45" s="96">
        <f t="shared" si="4"/>
        <v>0.16248974686097462</v>
      </c>
      <c r="L45" s="96">
        <f t="shared" si="4"/>
        <v>3.7611148885076544E-2</v>
      </c>
      <c r="M45" s="96">
        <f t="shared" si="4"/>
        <v>2.4648217882818287E-2</v>
      </c>
    </row>
    <row r="46" spans="2:13" x14ac:dyDescent="0.25">
      <c r="B46" s="85"/>
      <c r="C46" s="89"/>
    </row>
    <row r="47" spans="2:13" ht="15" customHeight="1" x14ac:dyDescent="0.25">
      <c r="D47" s="98"/>
    </row>
    <row r="48" spans="2:13" ht="15" customHeight="1" x14ac:dyDescent="0.25">
      <c r="D48" s="98"/>
    </row>
    <row r="49" spans="2:14" ht="18.75" x14ac:dyDescent="0.25">
      <c r="B49" s="228" t="s">
        <v>216</v>
      </c>
      <c r="C49" s="98">
        <f>SUM(C45:M45)</f>
        <v>0.59552750823486611</v>
      </c>
    </row>
    <row r="50" spans="2:14" ht="18.75" x14ac:dyDescent="0.25">
      <c r="B50" s="228"/>
      <c r="C50" s="98"/>
    </row>
    <row r="51" spans="2:14" x14ac:dyDescent="0.25">
      <c r="B51" s="85"/>
      <c r="C51" s="89"/>
    </row>
    <row r="52" spans="2:14" x14ac:dyDescent="0.25">
      <c r="C52" s="89"/>
    </row>
    <row r="55" spans="2:14" x14ac:dyDescent="0.25"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</row>
    <row r="56" spans="2:14" x14ac:dyDescent="0.25"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</row>
    <row r="57" spans="2:14" x14ac:dyDescent="0.25">
      <c r="C57" s="90"/>
      <c r="D57" s="90"/>
      <c r="E57" s="90"/>
      <c r="F57" s="90"/>
      <c r="G57" s="90"/>
      <c r="H57" s="90"/>
      <c r="I57" s="90"/>
      <c r="J57" s="90"/>
      <c r="K57" s="90"/>
      <c r="L57" s="90"/>
      <c r="M57" s="90"/>
      <c r="N57" s="90"/>
    </row>
    <row r="58" spans="2:14" x14ac:dyDescent="0.25"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</row>
    <row r="59" spans="2:14" x14ac:dyDescent="0.25"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</row>
    <row r="60" spans="2:14" x14ac:dyDescent="0.25">
      <c r="C60" s="30"/>
    </row>
  </sheetData>
  <mergeCells count="2">
    <mergeCell ref="C2:G2"/>
    <mergeCell ref="B49:B50"/>
  </mergeCells>
  <conditionalFormatting sqref="C49">
    <cfRule type="colorScale" priority="1">
      <colorScale>
        <cfvo type="num" val="-1"/>
        <cfvo type="num" val="1"/>
        <color rgb="FFFF0000"/>
        <color rgb="FF00FF00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T24"/>
  <sheetViews>
    <sheetView showGridLines="0" topLeftCell="B1" workbookViewId="0">
      <selection activeCell="J21" sqref="J21"/>
    </sheetView>
  </sheetViews>
  <sheetFormatPr defaultRowHeight="15" x14ac:dyDescent="0.25"/>
  <cols>
    <col min="1" max="2" width="9.140625" style="132"/>
    <col min="3" max="8" width="8.140625" style="132" customWidth="1"/>
    <col min="9" max="16384" width="9.140625" style="132"/>
  </cols>
  <sheetData>
    <row r="2" spans="3:20" ht="15.75" thickBot="1" x14ac:dyDescent="0.3"/>
    <row r="3" spans="3:20" ht="15.75" x14ac:dyDescent="0.25">
      <c r="C3" s="238" t="s">
        <v>263</v>
      </c>
      <c r="D3" s="238"/>
      <c r="E3" s="238"/>
      <c r="F3" s="239" t="s">
        <v>261</v>
      </c>
      <c r="G3" s="239"/>
      <c r="H3" s="239"/>
      <c r="L3" s="233" t="s">
        <v>263</v>
      </c>
      <c r="M3" s="234"/>
      <c r="N3" s="235"/>
      <c r="O3" s="233" t="s">
        <v>261</v>
      </c>
      <c r="P3" s="234"/>
      <c r="Q3" s="235"/>
      <c r="R3" s="233" t="s">
        <v>262</v>
      </c>
      <c r="S3" s="234"/>
      <c r="T3" s="235"/>
    </row>
    <row r="4" spans="3:20" ht="15.75" x14ac:dyDescent="0.25">
      <c r="C4" s="133" t="s">
        <v>23</v>
      </c>
      <c r="D4" s="133" t="s">
        <v>24</v>
      </c>
      <c r="E4" s="133" t="s">
        <v>25</v>
      </c>
      <c r="F4" s="134" t="s">
        <v>23</v>
      </c>
      <c r="G4" s="134" t="s">
        <v>24</v>
      </c>
      <c r="H4" s="134" t="s">
        <v>25</v>
      </c>
      <c r="L4" s="140" t="s">
        <v>23</v>
      </c>
      <c r="M4" s="133" t="s">
        <v>24</v>
      </c>
      <c r="N4" s="141" t="s">
        <v>25</v>
      </c>
      <c r="O4" s="140" t="s">
        <v>23</v>
      </c>
      <c r="P4" s="133" t="s">
        <v>24</v>
      </c>
      <c r="Q4" s="141" t="s">
        <v>25</v>
      </c>
      <c r="R4" s="140" t="s">
        <v>23</v>
      </c>
      <c r="S4" s="133" t="s">
        <v>24</v>
      </c>
      <c r="T4" s="141" t="s">
        <v>25</v>
      </c>
    </row>
    <row r="5" spans="3:20" ht="15.75" x14ac:dyDescent="0.25">
      <c r="C5" s="133">
        <v>0</v>
      </c>
      <c r="D5" s="133">
        <v>7</v>
      </c>
      <c r="E5" s="133">
        <v>1</v>
      </c>
      <c r="F5" s="134">
        <v>0</v>
      </c>
      <c r="G5" s="134">
        <v>7</v>
      </c>
      <c r="H5" s="134">
        <v>1</v>
      </c>
      <c r="L5" s="140">
        <v>0</v>
      </c>
      <c r="M5" s="133">
        <v>7</v>
      </c>
      <c r="N5" s="141">
        <v>1</v>
      </c>
      <c r="O5" s="140">
        <v>0</v>
      </c>
      <c r="P5" s="133">
        <v>7</v>
      </c>
      <c r="Q5" s="141">
        <v>1</v>
      </c>
      <c r="R5" s="140">
        <v>0</v>
      </c>
      <c r="S5" s="133">
        <v>14</v>
      </c>
      <c r="T5" s="141">
        <v>1</v>
      </c>
    </row>
    <row r="6" spans="3:20" ht="15.75" x14ac:dyDescent="0.25">
      <c r="C6" s="133">
        <v>8</v>
      </c>
      <c r="D6" s="133">
        <v>11</v>
      </c>
      <c r="E6" s="133">
        <v>2</v>
      </c>
      <c r="F6" s="134">
        <v>8</v>
      </c>
      <c r="G6" s="134">
        <v>15</v>
      </c>
      <c r="H6" s="134">
        <v>2</v>
      </c>
      <c r="L6" s="140">
        <v>8</v>
      </c>
      <c r="M6" s="133">
        <v>11</v>
      </c>
      <c r="N6" s="141">
        <v>2</v>
      </c>
      <c r="O6" s="140">
        <v>8</v>
      </c>
      <c r="P6" s="133">
        <v>15</v>
      </c>
      <c r="Q6" s="141">
        <v>2</v>
      </c>
      <c r="R6" s="140">
        <v>15</v>
      </c>
      <c r="S6" s="133">
        <v>30</v>
      </c>
      <c r="T6" s="141">
        <v>2</v>
      </c>
    </row>
    <row r="7" spans="3:20" ht="16.5" thickBot="1" x14ac:dyDescent="0.3">
      <c r="C7" s="133">
        <v>12</v>
      </c>
      <c r="D7" s="133">
        <v>21</v>
      </c>
      <c r="E7" s="133">
        <v>3</v>
      </c>
      <c r="F7" s="134">
        <v>16</v>
      </c>
      <c r="G7" s="134">
        <v>24</v>
      </c>
      <c r="H7" s="134">
        <v>3</v>
      </c>
      <c r="L7" s="150">
        <v>12</v>
      </c>
      <c r="M7" s="151">
        <v>21</v>
      </c>
      <c r="N7" s="152">
        <v>3</v>
      </c>
      <c r="O7" s="150">
        <v>16</v>
      </c>
      <c r="P7" s="151">
        <v>24</v>
      </c>
      <c r="Q7" s="152">
        <v>3</v>
      </c>
      <c r="R7" s="150">
        <v>31</v>
      </c>
      <c r="S7" s="151">
        <v>42</v>
      </c>
      <c r="T7" s="152">
        <v>3</v>
      </c>
    </row>
    <row r="8" spans="3:20" ht="15.75" x14ac:dyDescent="0.25">
      <c r="C8" s="241" t="s">
        <v>9</v>
      </c>
      <c r="D8" s="241"/>
      <c r="E8" s="241"/>
      <c r="F8" s="240" t="s">
        <v>262</v>
      </c>
      <c r="G8" s="240"/>
      <c r="H8" s="240"/>
      <c r="L8" s="233" t="s">
        <v>9</v>
      </c>
      <c r="M8" s="234"/>
      <c r="N8" s="235"/>
      <c r="O8" s="233" t="s">
        <v>13</v>
      </c>
      <c r="P8" s="234"/>
      <c r="Q8" s="235"/>
      <c r="R8" s="233" t="s">
        <v>264</v>
      </c>
      <c r="S8" s="234"/>
      <c r="T8" s="235"/>
    </row>
    <row r="9" spans="3:20" ht="15.75" x14ac:dyDescent="0.25">
      <c r="C9" s="134" t="s">
        <v>23</v>
      </c>
      <c r="D9" s="134" t="s">
        <v>24</v>
      </c>
      <c r="E9" s="134" t="s">
        <v>25</v>
      </c>
      <c r="F9" s="134" t="s">
        <v>23</v>
      </c>
      <c r="G9" s="134" t="s">
        <v>24</v>
      </c>
      <c r="H9" s="134" t="s">
        <v>25</v>
      </c>
      <c r="L9" s="140" t="s">
        <v>23</v>
      </c>
      <c r="M9" s="133" t="s">
        <v>24</v>
      </c>
      <c r="N9" s="141" t="s">
        <v>25</v>
      </c>
      <c r="O9" s="140" t="s">
        <v>23</v>
      </c>
      <c r="P9" s="133" t="s">
        <v>24</v>
      </c>
      <c r="Q9" s="141" t="s">
        <v>25</v>
      </c>
      <c r="R9" s="140" t="s">
        <v>23</v>
      </c>
      <c r="S9" s="133" t="s">
        <v>24</v>
      </c>
      <c r="T9" s="141" t="s">
        <v>25</v>
      </c>
    </row>
    <row r="10" spans="3:20" ht="15.75" x14ac:dyDescent="0.25">
      <c r="C10" s="134">
        <v>0</v>
      </c>
      <c r="D10" s="134">
        <v>13</v>
      </c>
      <c r="E10" s="134">
        <v>1</v>
      </c>
      <c r="F10" s="134">
        <v>0</v>
      </c>
      <c r="G10" s="134">
        <v>14</v>
      </c>
      <c r="H10" s="134">
        <v>1</v>
      </c>
      <c r="L10" s="140">
        <v>0</v>
      </c>
      <c r="M10" s="133">
        <v>13</v>
      </c>
      <c r="N10" s="141">
        <v>1</v>
      </c>
      <c r="O10" s="140">
        <v>0</v>
      </c>
      <c r="P10" s="133">
        <v>20</v>
      </c>
      <c r="Q10" s="141">
        <v>1</v>
      </c>
      <c r="R10" s="140">
        <v>0</v>
      </c>
      <c r="S10" s="133">
        <v>25</v>
      </c>
      <c r="T10" s="141">
        <v>1</v>
      </c>
    </row>
    <row r="11" spans="3:20" ht="15.75" x14ac:dyDescent="0.25">
      <c r="C11" s="134">
        <v>14</v>
      </c>
      <c r="D11" s="134">
        <v>19</v>
      </c>
      <c r="E11" s="134">
        <v>2</v>
      </c>
      <c r="F11" s="134">
        <v>15</v>
      </c>
      <c r="G11" s="134">
        <v>30</v>
      </c>
      <c r="H11" s="134">
        <v>2</v>
      </c>
      <c r="L11" s="140">
        <v>14</v>
      </c>
      <c r="M11" s="133">
        <v>19</v>
      </c>
      <c r="N11" s="141">
        <v>2</v>
      </c>
      <c r="O11" s="140">
        <v>21</v>
      </c>
      <c r="P11" s="133">
        <v>40</v>
      </c>
      <c r="Q11" s="141">
        <v>2</v>
      </c>
      <c r="R11" s="140">
        <v>26</v>
      </c>
      <c r="S11" s="133">
        <v>50</v>
      </c>
      <c r="T11" s="141">
        <v>2</v>
      </c>
    </row>
    <row r="12" spans="3:20" ht="15.75" x14ac:dyDescent="0.25">
      <c r="C12" s="134">
        <v>20</v>
      </c>
      <c r="D12" s="134">
        <v>28</v>
      </c>
      <c r="E12" s="134">
        <v>3</v>
      </c>
      <c r="F12" s="134">
        <v>31</v>
      </c>
      <c r="G12" s="134">
        <v>42</v>
      </c>
      <c r="H12" s="134">
        <v>3</v>
      </c>
      <c r="L12" s="140">
        <v>20</v>
      </c>
      <c r="M12" s="133">
        <v>28</v>
      </c>
      <c r="N12" s="141">
        <v>3</v>
      </c>
      <c r="O12" s="140">
        <v>41</v>
      </c>
      <c r="P12" s="133">
        <v>60</v>
      </c>
      <c r="Q12" s="141">
        <v>3</v>
      </c>
      <c r="R12" s="140">
        <v>51</v>
      </c>
      <c r="S12" s="133">
        <v>75</v>
      </c>
      <c r="T12" s="141">
        <v>3</v>
      </c>
    </row>
    <row r="13" spans="3:20" ht="15.75" x14ac:dyDescent="0.25">
      <c r="C13" s="134">
        <v>29</v>
      </c>
      <c r="D13" s="134">
        <v>63</v>
      </c>
      <c r="E13" s="134">
        <v>4</v>
      </c>
      <c r="F13" s="237" t="s">
        <v>13</v>
      </c>
      <c r="G13" s="237"/>
      <c r="H13" s="237"/>
      <c r="L13" s="142">
        <v>29</v>
      </c>
      <c r="M13" s="134">
        <v>63</v>
      </c>
      <c r="N13" s="143">
        <v>4</v>
      </c>
      <c r="O13" s="142">
        <v>61</v>
      </c>
      <c r="P13" s="134">
        <v>80</v>
      </c>
      <c r="Q13" s="143">
        <v>4</v>
      </c>
      <c r="R13" s="142">
        <v>76</v>
      </c>
      <c r="S13" s="134">
        <v>100</v>
      </c>
      <c r="T13" s="143">
        <v>4</v>
      </c>
    </row>
    <row r="14" spans="3:20" ht="16.5" thickBot="1" x14ac:dyDescent="0.3">
      <c r="C14" s="236" t="s">
        <v>264</v>
      </c>
      <c r="D14" s="236"/>
      <c r="E14" s="236"/>
      <c r="F14" s="134" t="s">
        <v>23</v>
      </c>
      <c r="G14" s="134" t="s">
        <v>24</v>
      </c>
      <c r="H14" s="134" t="s">
        <v>25</v>
      </c>
      <c r="L14" s="144"/>
      <c r="M14" s="145"/>
      <c r="N14" s="146"/>
      <c r="O14" s="147">
        <v>81</v>
      </c>
      <c r="P14" s="148">
        <v>100</v>
      </c>
      <c r="Q14" s="149">
        <v>5</v>
      </c>
      <c r="R14" s="144"/>
      <c r="S14" s="145"/>
      <c r="T14" s="146"/>
    </row>
    <row r="15" spans="3:20" ht="15.75" x14ac:dyDescent="0.25">
      <c r="C15" s="134" t="s">
        <v>23</v>
      </c>
      <c r="D15" s="134" t="s">
        <v>24</v>
      </c>
      <c r="E15" s="134" t="s">
        <v>25</v>
      </c>
      <c r="F15" s="134">
        <v>0</v>
      </c>
      <c r="G15" s="134">
        <v>20</v>
      </c>
      <c r="H15" s="134">
        <v>1</v>
      </c>
    </row>
    <row r="16" spans="3:20" ht="15.75" x14ac:dyDescent="0.25">
      <c r="C16" s="134">
        <v>0</v>
      </c>
      <c r="D16" s="134">
        <v>25</v>
      </c>
      <c r="E16" s="134">
        <v>1</v>
      </c>
      <c r="F16" s="134">
        <v>21</v>
      </c>
      <c r="G16" s="134">
        <v>40</v>
      </c>
      <c r="H16" s="134">
        <v>2</v>
      </c>
    </row>
    <row r="17" spans="3:16" ht="15.75" x14ac:dyDescent="0.25">
      <c r="C17" s="134">
        <v>26</v>
      </c>
      <c r="D17" s="134">
        <v>50</v>
      </c>
      <c r="E17" s="134">
        <v>2</v>
      </c>
      <c r="F17" s="134">
        <v>41</v>
      </c>
      <c r="G17" s="134">
        <v>60</v>
      </c>
      <c r="H17" s="134">
        <v>3</v>
      </c>
    </row>
    <row r="18" spans="3:16" ht="15.75" x14ac:dyDescent="0.25">
      <c r="C18" s="134">
        <v>51</v>
      </c>
      <c r="D18" s="134">
        <v>75</v>
      </c>
      <c r="E18" s="134">
        <v>3</v>
      </c>
      <c r="F18" s="134">
        <v>61</v>
      </c>
      <c r="G18" s="134">
        <v>80</v>
      </c>
      <c r="H18" s="134">
        <v>4</v>
      </c>
    </row>
    <row r="19" spans="3:16" ht="15.75" x14ac:dyDescent="0.25">
      <c r="C19" s="134">
        <v>76</v>
      </c>
      <c r="D19" s="134">
        <v>100</v>
      </c>
      <c r="E19" s="134">
        <v>4</v>
      </c>
      <c r="F19" s="134">
        <v>81</v>
      </c>
      <c r="G19" s="134">
        <v>100</v>
      </c>
      <c r="H19" s="134">
        <v>5</v>
      </c>
    </row>
    <row r="21" spans="3:16" ht="18" customHeight="1" x14ac:dyDescent="0.25">
      <c r="L21" s="229" t="s">
        <v>280</v>
      </c>
      <c r="M21" s="229"/>
      <c r="N21" s="229"/>
      <c r="O21" s="229"/>
      <c r="P21" s="229"/>
    </row>
    <row r="22" spans="3:16" ht="18" customHeight="1" x14ac:dyDescent="0.25">
      <c r="L22" s="3" t="s">
        <v>275</v>
      </c>
      <c r="M22" s="3" t="s">
        <v>276</v>
      </c>
      <c r="N22" s="3" t="s">
        <v>277</v>
      </c>
      <c r="O22" s="3" t="s">
        <v>278</v>
      </c>
      <c r="P22" s="3" t="s">
        <v>279</v>
      </c>
    </row>
    <row r="23" spans="3:16" ht="18" customHeight="1" x14ac:dyDescent="0.25">
      <c r="L23" s="88">
        <v>0.15</v>
      </c>
      <c r="M23" s="88">
        <v>0.15</v>
      </c>
      <c r="N23" s="88">
        <v>0.35</v>
      </c>
      <c r="O23" s="92">
        <v>0.3</v>
      </c>
      <c r="P23" s="92">
        <v>0.05</v>
      </c>
    </row>
    <row r="24" spans="3:16" ht="18" customHeight="1" x14ac:dyDescent="0.25">
      <c r="L24" s="230" t="s">
        <v>281</v>
      </c>
      <c r="M24" s="231"/>
      <c r="N24" s="232"/>
      <c r="O24" s="92">
        <v>0.8</v>
      </c>
      <c r="P24" s="92">
        <v>0.2</v>
      </c>
    </row>
  </sheetData>
  <mergeCells count="14">
    <mergeCell ref="C14:E14"/>
    <mergeCell ref="F13:H13"/>
    <mergeCell ref="C3:E3"/>
    <mergeCell ref="R3:T3"/>
    <mergeCell ref="R8:T8"/>
    <mergeCell ref="F3:H3"/>
    <mergeCell ref="F8:H8"/>
    <mergeCell ref="C8:E8"/>
    <mergeCell ref="L21:P21"/>
    <mergeCell ref="L24:N24"/>
    <mergeCell ref="L3:N3"/>
    <mergeCell ref="L8:N8"/>
    <mergeCell ref="O3:Q3"/>
    <mergeCell ref="O8:Q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X17"/>
  <sheetViews>
    <sheetView showGridLines="0" tabSelected="1" zoomScale="90" zoomScaleNormal="90" workbookViewId="0">
      <selection activeCell="V22" sqref="V22"/>
    </sheetView>
  </sheetViews>
  <sheetFormatPr defaultRowHeight="15" x14ac:dyDescent="0.25"/>
  <cols>
    <col min="1" max="1" width="19.42578125" customWidth="1"/>
    <col min="2" max="2" width="2.140625" customWidth="1"/>
    <col min="3" max="3" width="11.140625" customWidth="1"/>
    <col min="4" max="4" width="1.7109375" customWidth="1"/>
    <col min="5" max="5" width="1.85546875" customWidth="1"/>
    <col min="6" max="6" width="6.140625" customWidth="1"/>
    <col min="9" max="9" width="1.7109375" customWidth="1"/>
    <col min="10" max="10" width="1" customWidth="1"/>
    <col min="11" max="11" width="11.28515625" bestFit="1" customWidth="1"/>
    <col min="12" max="12" width="1" customWidth="1"/>
    <col min="13" max="13" width="2.28515625" customWidth="1"/>
    <col min="15" max="15" width="11.42578125" customWidth="1"/>
  </cols>
  <sheetData>
    <row r="3" spans="2:24" x14ac:dyDescent="0.25">
      <c r="B3" s="135"/>
      <c r="C3" s="47"/>
      <c r="D3" s="136"/>
      <c r="J3" s="135"/>
      <c r="K3" s="47"/>
      <c r="L3" s="136"/>
    </row>
    <row r="4" spans="2:24" x14ac:dyDescent="0.25">
      <c r="B4" s="54"/>
      <c r="C4" s="137" t="s">
        <v>267</v>
      </c>
      <c r="D4" s="48"/>
      <c r="J4" s="54"/>
      <c r="K4" s="137" t="s">
        <v>265</v>
      </c>
      <c r="L4" s="48"/>
      <c r="O4" s="242" t="s">
        <v>269</v>
      </c>
      <c r="T4" t="s">
        <v>137</v>
      </c>
      <c r="U4" t="s">
        <v>133</v>
      </c>
      <c r="V4" t="s">
        <v>135</v>
      </c>
      <c r="W4" t="s">
        <v>134</v>
      </c>
      <c r="X4" t="s">
        <v>136</v>
      </c>
    </row>
    <row r="5" spans="2:24" x14ac:dyDescent="0.25">
      <c r="B5" s="54"/>
      <c r="C5" s="137" t="s">
        <v>268</v>
      </c>
      <c r="D5" s="48"/>
      <c r="G5" s="139" t="s">
        <v>271</v>
      </c>
      <c r="J5" s="54"/>
      <c r="K5" s="137" t="s">
        <v>266</v>
      </c>
      <c r="L5" s="48"/>
      <c r="O5" s="242"/>
      <c r="U5">
        <v>1</v>
      </c>
      <c r="V5">
        <v>17.833333333333336</v>
      </c>
      <c r="W5">
        <v>36</v>
      </c>
      <c r="X5">
        <v>0.49537037037037046</v>
      </c>
    </row>
    <row r="6" spans="2:24" x14ac:dyDescent="0.25">
      <c r="B6" s="55"/>
      <c r="C6" s="47"/>
      <c r="D6" s="50"/>
      <c r="G6" s="139" t="s">
        <v>272</v>
      </c>
      <c r="J6" s="55"/>
      <c r="K6" s="47"/>
      <c r="L6" s="50"/>
      <c r="O6" s="242"/>
      <c r="U6">
        <v>1</v>
      </c>
      <c r="V6">
        <v>25.5</v>
      </c>
      <c r="W6">
        <v>36</v>
      </c>
      <c r="X6">
        <v>0.70833333333333337</v>
      </c>
    </row>
    <row r="7" spans="2:24" x14ac:dyDescent="0.25">
      <c r="U7">
        <v>1</v>
      </c>
      <c r="V7">
        <v>25.5</v>
      </c>
      <c r="W7">
        <v>36</v>
      </c>
      <c r="X7">
        <v>0.70833333333333337</v>
      </c>
    </row>
    <row r="8" spans="2:24" x14ac:dyDescent="0.25">
      <c r="U8">
        <v>1</v>
      </c>
      <c r="V8">
        <v>25.5</v>
      </c>
      <c r="W8">
        <v>36</v>
      </c>
      <c r="X8">
        <v>0.70833333333333337</v>
      </c>
    </row>
    <row r="9" spans="2:24" x14ac:dyDescent="0.25">
      <c r="F9" s="138" t="s">
        <v>273</v>
      </c>
      <c r="N9" s="138" t="s">
        <v>270</v>
      </c>
      <c r="U9">
        <v>1</v>
      </c>
      <c r="V9">
        <v>25.5</v>
      </c>
      <c r="W9">
        <v>36</v>
      </c>
      <c r="X9">
        <v>0.70833333333333337</v>
      </c>
    </row>
    <row r="10" spans="2:24" x14ac:dyDescent="0.25">
      <c r="U10">
        <v>1</v>
      </c>
      <c r="V10">
        <v>5.666666666666667</v>
      </c>
      <c r="W10">
        <v>36</v>
      </c>
      <c r="X10">
        <v>0.15740740740740741</v>
      </c>
    </row>
    <row r="11" spans="2:24" x14ac:dyDescent="0.25">
      <c r="U11">
        <v>1</v>
      </c>
      <c r="V11">
        <v>3.3761904761904757</v>
      </c>
      <c r="W11">
        <v>36</v>
      </c>
      <c r="X11">
        <v>9.3783068783068774E-2</v>
      </c>
    </row>
    <row r="12" spans="2:24" x14ac:dyDescent="0.25">
      <c r="U12">
        <v>1</v>
      </c>
      <c r="V12">
        <v>25.5</v>
      </c>
      <c r="W12">
        <v>36</v>
      </c>
      <c r="X12">
        <v>0.70833333333333337</v>
      </c>
    </row>
    <row r="13" spans="2:24" x14ac:dyDescent="0.25">
      <c r="U13">
        <v>1</v>
      </c>
      <c r="V13">
        <v>36</v>
      </c>
      <c r="W13">
        <v>36</v>
      </c>
      <c r="X13">
        <v>1</v>
      </c>
    </row>
    <row r="14" spans="2:24" x14ac:dyDescent="0.25">
      <c r="U14">
        <v>1</v>
      </c>
      <c r="V14">
        <v>5.666666666666667</v>
      </c>
      <c r="W14">
        <v>36</v>
      </c>
      <c r="X14">
        <v>0.15740740740740741</v>
      </c>
    </row>
    <row r="17" spans="18:18" x14ac:dyDescent="0.25">
      <c r="R17" t="s">
        <v>302</v>
      </c>
    </row>
  </sheetData>
  <mergeCells count="1">
    <mergeCell ref="O4:O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3:F10"/>
  <sheetViews>
    <sheetView showGridLines="0" topLeftCell="A16" workbookViewId="0">
      <selection activeCell="E39" sqref="E39"/>
    </sheetView>
  </sheetViews>
  <sheetFormatPr defaultRowHeight="15" x14ac:dyDescent="0.25"/>
  <cols>
    <col min="5" max="5" width="44" customWidth="1"/>
    <col min="6" max="6" width="15.85546875" customWidth="1"/>
  </cols>
  <sheetData>
    <row r="3" spans="4:6" ht="15.75" thickBot="1" x14ac:dyDescent="0.3"/>
    <row r="4" spans="4:6" ht="32.25" thickBot="1" x14ac:dyDescent="0.3">
      <c r="D4" s="245" t="s">
        <v>253</v>
      </c>
      <c r="E4" s="246"/>
      <c r="F4" s="156" t="s">
        <v>252</v>
      </c>
    </row>
    <row r="5" spans="4:6" ht="15.75" x14ac:dyDescent="0.25">
      <c r="D5" s="247" t="s">
        <v>254</v>
      </c>
      <c r="E5" s="248"/>
      <c r="F5" s="155"/>
    </row>
    <row r="6" spans="4:6" ht="15.75" x14ac:dyDescent="0.25">
      <c r="D6" s="249" t="s">
        <v>255</v>
      </c>
      <c r="E6" s="250"/>
      <c r="F6" s="153"/>
    </row>
    <row r="7" spans="4:6" ht="15.75" x14ac:dyDescent="0.25">
      <c r="D7" s="249" t="s">
        <v>256</v>
      </c>
      <c r="E7" s="250"/>
      <c r="F7" s="153"/>
    </row>
    <row r="8" spans="4:6" ht="15.75" x14ac:dyDescent="0.25">
      <c r="D8" s="249" t="s">
        <v>257</v>
      </c>
      <c r="E8" s="250"/>
      <c r="F8" s="153"/>
    </row>
    <row r="9" spans="4:6" ht="15.75" x14ac:dyDescent="0.25">
      <c r="D9" s="249" t="s">
        <v>274</v>
      </c>
      <c r="E9" s="250"/>
      <c r="F9" s="153"/>
    </row>
    <row r="10" spans="4:6" ht="16.5" thickBot="1" x14ac:dyDescent="0.3">
      <c r="D10" s="243" t="s">
        <v>258</v>
      </c>
      <c r="E10" s="244"/>
      <c r="F10" s="154"/>
    </row>
  </sheetData>
  <mergeCells count="7">
    <mergeCell ref="D10:E10"/>
    <mergeCell ref="D4:E4"/>
    <mergeCell ref="D5:E5"/>
    <mergeCell ref="D6:E6"/>
    <mergeCell ref="D7:E7"/>
    <mergeCell ref="D8:E8"/>
    <mergeCell ref="D9:E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1"/>
  <sheetViews>
    <sheetView workbookViewId="0">
      <selection activeCell="G13" sqref="G13"/>
    </sheetView>
  </sheetViews>
  <sheetFormatPr defaultRowHeight="15" x14ac:dyDescent="0.25"/>
  <cols>
    <col min="2" max="2" width="13.5703125" customWidth="1"/>
    <col min="3" max="3" width="45.85546875" customWidth="1"/>
  </cols>
  <sheetData>
    <row r="2" spans="2:3" x14ac:dyDescent="0.25">
      <c r="B2" s="101" t="s">
        <v>102</v>
      </c>
      <c r="C2" s="101" t="s">
        <v>103</v>
      </c>
    </row>
    <row r="3" spans="2:3" ht="14.25" customHeight="1" x14ac:dyDescent="0.25">
      <c r="B3" s="99">
        <v>1</v>
      </c>
      <c r="C3" s="99" t="s">
        <v>121</v>
      </c>
    </row>
    <row r="4" spans="2:3" ht="14.25" customHeight="1" x14ac:dyDescent="0.25">
      <c r="B4" s="99">
        <v>2</v>
      </c>
      <c r="C4" s="31" t="s">
        <v>238</v>
      </c>
    </row>
    <row r="5" spans="2:3" ht="14.25" customHeight="1" x14ac:dyDescent="0.25">
      <c r="B5" s="99">
        <v>3</v>
      </c>
      <c r="C5" s="100" t="s">
        <v>283</v>
      </c>
    </row>
    <row r="6" spans="2:3" ht="14.25" customHeight="1" x14ac:dyDescent="0.25">
      <c r="B6" s="99">
        <v>4</v>
      </c>
      <c r="C6" s="31" t="s">
        <v>238</v>
      </c>
    </row>
    <row r="7" spans="2:3" ht="14.25" customHeight="1" x14ac:dyDescent="0.25">
      <c r="B7" s="99">
        <v>5</v>
      </c>
      <c r="C7" s="99" t="s">
        <v>99</v>
      </c>
    </row>
    <row r="8" spans="2:3" ht="14.25" customHeight="1" x14ac:dyDescent="0.25">
      <c r="B8" s="99">
        <v>6</v>
      </c>
      <c r="C8" s="31" t="s">
        <v>282</v>
      </c>
    </row>
    <row r="9" spans="2:3" ht="14.25" customHeight="1" x14ac:dyDescent="0.25">
      <c r="B9" s="99">
        <v>7</v>
      </c>
      <c r="C9" s="99" t="s">
        <v>100</v>
      </c>
    </row>
    <row r="10" spans="2:3" ht="14.25" customHeight="1" x14ac:dyDescent="0.25">
      <c r="B10" s="99">
        <v>8</v>
      </c>
      <c r="C10" s="31" t="s">
        <v>282</v>
      </c>
    </row>
    <row r="11" spans="2:3" ht="14.25" customHeight="1" x14ac:dyDescent="0.25">
      <c r="B11" s="99">
        <v>9</v>
      </c>
      <c r="C11" s="99" t="s">
        <v>101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1"/>
  <sheetViews>
    <sheetView workbookViewId="0">
      <selection activeCell="G21" sqref="G21"/>
    </sheetView>
  </sheetViews>
  <sheetFormatPr defaultRowHeight="15" x14ac:dyDescent="0.25"/>
  <cols>
    <col min="2" max="2" width="19.7109375" customWidth="1"/>
    <col min="3" max="5" width="19" customWidth="1"/>
  </cols>
  <sheetData>
    <row r="1" spans="2:5" ht="15.75" thickBot="1" x14ac:dyDescent="0.3"/>
    <row r="2" spans="2:5" ht="16.5" thickBot="1" x14ac:dyDescent="0.3">
      <c r="B2" s="165" t="s">
        <v>297</v>
      </c>
      <c r="C2" s="166" t="s">
        <v>102</v>
      </c>
      <c r="D2" s="165" t="s">
        <v>297</v>
      </c>
      <c r="E2" s="166" t="s">
        <v>102</v>
      </c>
    </row>
    <row r="3" spans="2:5" x14ac:dyDescent="0.25">
      <c r="B3" s="163">
        <f>4-4</f>
        <v>0</v>
      </c>
      <c r="C3" s="164">
        <v>1</v>
      </c>
      <c r="D3" s="163">
        <f>4-4</f>
        <v>0</v>
      </c>
      <c r="E3" s="164">
        <v>1</v>
      </c>
    </row>
    <row r="4" spans="2:5" x14ac:dyDescent="0.25">
      <c r="B4" s="160">
        <f>4-3</f>
        <v>1</v>
      </c>
      <c r="C4" s="159">
        <v>0.5</v>
      </c>
      <c r="D4" s="160">
        <f>3-4</f>
        <v>-1</v>
      </c>
      <c r="E4" s="159">
        <v>2</v>
      </c>
    </row>
    <row r="5" spans="2:5" x14ac:dyDescent="0.25">
      <c r="B5" s="160">
        <f>4-2</f>
        <v>2</v>
      </c>
      <c r="C5" s="159">
        <v>0.33333333333333331</v>
      </c>
      <c r="D5" s="160">
        <f>2-4</f>
        <v>-2</v>
      </c>
      <c r="E5" s="159">
        <v>3</v>
      </c>
    </row>
    <row r="6" spans="2:5" x14ac:dyDescent="0.25">
      <c r="B6" s="160">
        <f>5-2</f>
        <v>3</v>
      </c>
      <c r="C6" s="159">
        <v>0.25</v>
      </c>
      <c r="D6" s="160">
        <f>2-5</f>
        <v>-3</v>
      </c>
      <c r="E6" s="159">
        <v>4</v>
      </c>
    </row>
    <row r="7" spans="2:5" x14ac:dyDescent="0.25">
      <c r="B7" s="160">
        <f>5-1</f>
        <v>4</v>
      </c>
      <c r="C7" s="159">
        <v>0.2</v>
      </c>
      <c r="D7" s="160">
        <v>-4</v>
      </c>
      <c r="E7" s="159">
        <v>5</v>
      </c>
    </row>
    <row r="8" spans="2:5" x14ac:dyDescent="0.25">
      <c r="B8" s="160">
        <v>5</v>
      </c>
      <c r="C8" s="159">
        <v>0.16666666666666666</v>
      </c>
      <c r="D8" s="160">
        <v>-5</v>
      </c>
      <c r="E8" s="159">
        <v>6</v>
      </c>
    </row>
    <row r="9" spans="2:5" x14ac:dyDescent="0.25">
      <c r="B9" s="160">
        <v>6</v>
      </c>
      <c r="C9" s="159">
        <v>0.14285714285714285</v>
      </c>
      <c r="D9" s="160">
        <v>-6</v>
      </c>
      <c r="E9" s="159">
        <v>7</v>
      </c>
    </row>
    <row r="10" spans="2:5" x14ac:dyDescent="0.25">
      <c r="B10" s="160">
        <v>7</v>
      </c>
      <c r="C10" s="159">
        <v>0.125</v>
      </c>
      <c r="D10" s="160">
        <v>-7</v>
      </c>
      <c r="E10" s="159">
        <v>8</v>
      </c>
    </row>
    <row r="11" spans="2:5" ht="15.75" thickBot="1" x14ac:dyDescent="0.3">
      <c r="B11" s="161">
        <v>8</v>
      </c>
      <c r="C11" s="162">
        <v>0.1111111111111111</v>
      </c>
      <c r="D11" s="161">
        <v>-8</v>
      </c>
      <c r="E11" s="162">
        <v>9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I17"/>
  <sheetViews>
    <sheetView showGridLines="0" workbookViewId="0">
      <selection activeCell="H18" sqref="H18"/>
    </sheetView>
  </sheetViews>
  <sheetFormatPr defaultRowHeight="15" x14ac:dyDescent="0.25"/>
  <cols>
    <col min="1" max="1" width="1.28515625" customWidth="1"/>
    <col min="2" max="5" width="15.42578125" style="34" customWidth="1"/>
  </cols>
  <sheetData>
    <row r="1" spans="1:9" ht="6.75" customHeight="1" x14ac:dyDescent="0.25"/>
    <row r="2" spans="1:9" ht="23.25" customHeight="1" x14ac:dyDescent="0.25">
      <c r="B2" s="134" t="s">
        <v>287</v>
      </c>
      <c r="C2" s="134" t="s">
        <v>284</v>
      </c>
      <c r="D2" s="134" t="s">
        <v>285</v>
      </c>
      <c r="E2" s="134" t="s">
        <v>286</v>
      </c>
    </row>
    <row r="3" spans="1:9" ht="23.25" customHeight="1" x14ac:dyDescent="0.25">
      <c r="B3" s="134" t="s">
        <v>284</v>
      </c>
      <c r="C3" s="157" t="s">
        <v>288</v>
      </c>
      <c r="D3" s="158" t="s">
        <v>289</v>
      </c>
      <c r="E3" s="158" t="s">
        <v>290</v>
      </c>
    </row>
    <row r="4" spans="1:9" ht="23.25" customHeight="1" x14ac:dyDescent="0.25">
      <c r="B4" s="134" t="s">
        <v>285</v>
      </c>
      <c r="C4" s="158" t="s">
        <v>291</v>
      </c>
      <c r="D4" s="158" t="s">
        <v>292</v>
      </c>
      <c r="E4" s="158" t="s">
        <v>293</v>
      </c>
    </row>
    <row r="5" spans="1:9" ht="23.25" customHeight="1" x14ac:dyDescent="0.25">
      <c r="B5" s="134" t="s">
        <v>286</v>
      </c>
      <c r="C5" s="158" t="s">
        <v>294</v>
      </c>
      <c r="D5" s="158" t="s">
        <v>295</v>
      </c>
      <c r="E5" s="158" t="s">
        <v>296</v>
      </c>
    </row>
    <row r="7" spans="1:9" s="34" customFormat="1" x14ac:dyDescent="0.25">
      <c r="A7"/>
      <c r="F7"/>
      <c r="G7"/>
      <c r="H7"/>
      <c r="I7"/>
    </row>
    <row r="8" spans="1:9" s="34" customFormat="1" x14ac:dyDescent="0.25">
      <c r="A8"/>
      <c r="F8"/>
      <c r="G8"/>
      <c r="H8"/>
      <c r="I8"/>
    </row>
    <row r="9" spans="1:9" s="34" customFormat="1" x14ac:dyDescent="0.25">
      <c r="A9"/>
      <c r="F9"/>
      <c r="G9"/>
      <c r="H9"/>
      <c r="I9"/>
    </row>
    <row r="10" spans="1:9" s="34" customFormat="1" x14ac:dyDescent="0.25">
      <c r="A10"/>
      <c r="F10"/>
      <c r="G10"/>
      <c r="H10"/>
      <c r="I10"/>
    </row>
    <row r="11" spans="1:9" s="34" customFormat="1" x14ac:dyDescent="0.25">
      <c r="A11"/>
      <c r="F11"/>
      <c r="G11"/>
      <c r="H11"/>
      <c r="I11"/>
    </row>
    <row r="12" spans="1:9" s="34" customFormat="1" x14ac:dyDescent="0.25">
      <c r="A12"/>
      <c r="F12"/>
      <c r="G12"/>
      <c r="H12"/>
      <c r="I12"/>
    </row>
    <row r="13" spans="1:9" s="34" customFormat="1" x14ac:dyDescent="0.25">
      <c r="A13"/>
      <c r="F13"/>
      <c r="G13"/>
      <c r="H13"/>
      <c r="I13"/>
    </row>
    <row r="14" spans="1:9" s="34" customFormat="1" x14ac:dyDescent="0.25">
      <c r="A14"/>
      <c r="F14"/>
      <c r="G14"/>
      <c r="H14"/>
      <c r="I14"/>
    </row>
    <row r="15" spans="1:9" s="34" customFormat="1" x14ac:dyDescent="0.25">
      <c r="A15"/>
      <c r="F15"/>
      <c r="G15"/>
      <c r="H15"/>
      <c r="I15"/>
    </row>
    <row r="16" spans="1:9" s="34" customFormat="1" x14ac:dyDescent="0.25">
      <c r="A16"/>
      <c r="F16"/>
      <c r="G16"/>
      <c r="H16"/>
      <c r="I16"/>
    </row>
    <row r="17" spans="1:9" s="34" customFormat="1" x14ac:dyDescent="0.25">
      <c r="A17"/>
      <c r="F17"/>
      <c r="G17"/>
      <c r="H17"/>
      <c r="I17"/>
    </row>
  </sheetData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F10"/>
  <sheetViews>
    <sheetView showGridLines="0" topLeftCell="A10" workbookViewId="0">
      <selection activeCell="H16" sqref="H16"/>
    </sheetView>
  </sheetViews>
  <sheetFormatPr defaultRowHeight="15" x14ac:dyDescent="0.25"/>
  <cols>
    <col min="3" max="6" width="10.5703125" customWidth="1"/>
  </cols>
  <sheetData>
    <row r="2" spans="3:6" ht="15.75" thickBot="1" x14ac:dyDescent="0.3">
      <c r="C2" s="169"/>
      <c r="D2" s="169"/>
      <c r="E2" s="169"/>
      <c r="F2" s="169"/>
    </row>
    <row r="3" spans="3:6" ht="15.75" x14ac:dyDescent="0.25">
      <c r="C3" s="251" t="s">
        <v>298</v>
      </c>
      <c r="D3" s="252"/>
      <c r="E3" s="253" t="s">
        <v>301</v>
      </c>
      <c r="F3" s="253"/>
    </row>
    <row r="4" spans="3:6" ht="15.75" x14ac:dyDescent="0.25">
      <c r="C4" s="167" t="s">
        <v>299</v>
      </c>
      <c r="D4" s="171" t="s">
        <v>59</v>
      </c>
      <c r="E4" s="167" t="s">
        <v>299</v>
      </c>
      <c r="F4" s="167" t="s">
        <v>59</v>
      </c>
    </row>
    <row r="5" spans="3:6" x14ac:dyDescent="0.25">
      <c r="C5" s="168">
        <v>4</v>
      </c>
      <c r="D5" s="172">
        <v>0</v>
      </c>
      <c r="E5" s="168">
        <v>1</v>
      </c>
      <c r="F5" s="168">
        <v>1</v>
      </c>
    </row>
    <row r="6" spans="3:6" x14ac:dyDescent="0.25">
      <c r="C6" s="168">
        <v>16</v>
      </c>
      <c r="D6" s="172">
        <v>22</v>
      </c>
      <c r="E6" s="168">
        <v>2</v>
      </c>
      <c r="F6" s="168">
        <v>3</v>
      </c>
    </row>
    <row r="7" spans="3:6" x14ac:dyDescent="0.25">
      <c r="C7" s="168">
        <v>32</v>
      </c>
      <c r="D7" s="172">
        <v>15</v>
      </c>
      <c r="E7" s="168">
        <v>4</v>
      </c>
      <c r="F7" s="168">
        <v>2</v>
      </c>
    </row>
    <row r="8" spans="3:6" x14ac:dyDescent="0.25">
      <c r="C8" s="168">
        <v>23</v>
      </c>
      <c r="D8" s="172">
        <v>8</v>
      </c>
      <c r="E8" s="168">
        <v>3</v>
      </c>
      <c r="F8" s="168">
        <v>1</v>
      </c>
    </row>
    <row r="9" spans="3:6" x14ac:dyDescent="0.25">
      <c r="C9" s="168" t="s">
        <v>300</v>
      </c>
      <c r="D9" s="172" t="s">
        <v>300</v>
      </c>
      <c r="E9" s="168" t="s">
        <v>300</v>
      </c>
      <c r="F9" s="168" t="s">
        <v>300</v>
      </c>
    </row>
    <row r="10" spans="3:6" ht="15.75" thickBot="1" x14ac:dyDescent="0.3">
      <c r="C10" s="170">
        <v>4</v>
      </c>
      <c r="D10" s="173">
        <v>1</v>
      </c>
      <c r="E10" s="170">
        <v>1</v>
      </c>
      <c r="F10" s="170">
        <v>1</v>
      </c>
    </row>
  </sheetData>
  <mergeCells count="2">
    <mergeCell ref="C3:D3"/>
    <mergeCell ref="E3:F3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Capa</vt:lpstr>
      <vt:lpstr>Entradas</vt:lpstr>
      <vt:lpstr>Saída</vt:lpstr>
      <vt:lpstr>Matrizes</vt:lpstr>
      <vt:lpstr>111</vt:lpstr>
      <vt:lpstr>110</vt:lpstr>
      <vt:lpstr>101</vt:lpstr>
      <vt:lpstr>100</vt:lpstr>
      <vt:lpstr>011</vt:lpstr>
      <vt:lpstr>010</vt:lpstr>
      <vt:lpstr>001</vt:lpstr>
      <vt:lpstr>000</vt:lpstr>
      <vt:lpstr>Geral</vt:lpstr>
      <vt:lpstr>AUX Probabilidades</vt:lpstr>
      <vt:lpstr>Probabilidades</vt:lpstr>
      <vt:lpstr>AHP Matriz</vt:lpstr>
      <vt:lpstr>AHP consistencia</vt:lpstr>
      <vt:lpstr>AHP PM</vt:lpstr>
      <vt:lpstr>Score ideia 2</vt:lpstr>
      <vt:lpstr>faixas</vt:lpstr>
      <vt:lpstr>Plan1</vt:lpstr>
      <vt:lpstr>Plan2</vt:lpstr>
      <vt:lpstr>Plan3</vt:lpstr>
      <vt:lpstr>Plan4</vt:lpstr>
      <vt:lpstr>cop</vt:lpstr>
      <vt:lpstr>Plan6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2006-09-25T12:47:36Z</dcterms:created>
  <dcterms:modified xsi:type="dcterms:W3CDTF">2017-12-12T10:59:58Z</dcterms:modified>
</cp:coreProperties>
</file>